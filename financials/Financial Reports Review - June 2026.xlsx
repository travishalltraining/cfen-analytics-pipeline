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920d035c95380a/Desktop/Walton Growth/Clients/CFEN/Financials/2026/"/>
    </mc:Choice>
  </mc:AlternateContent>
  <xr:revisionPtr revIDLastSave="12" documentId="8_{B9C9E621-D4D8-44BE-820C-9BD3882CB66B}" xr6:coauthVersionLast="47" xr6:coauthVersionMax="47" xr10:uidLastSave="{C002FC74-1F33-4FF5-A449-C783EB8548F0}"/>
  <bookViews>
    <workbookView xWindow="-108" yWindow="-108" windowWidth="23256" windowHeight="13896" activeTab="1" xr2:uid="{00000000-000D-0000-FFFF-FFFF00000000}"/>
  </bookViews>
  <sheets>
    <sheet name="Balance Sheet" sheetId="6" r:id="rId1"/>
    <sheet name="P&amp;L" sheetId="1" r:id="rId2"/>
    <sheet name="YTD P&amp;L YOY" sheetId="2" r:id="rId3"/>
    <sheet name="2026 YTD Summary" sheetId="3" r:id="rId4"/>
    <sheet name="Square YTD" sheetId="4" r:id="rId5"/>
    <sheet name="Wodify YTD" sheetId="5" r:id="rId6"/>
  </sheets>
  <definedNames>
    <definedName name="_xlnm._FilterDatabase" localSheetId="5" hidden="1">'Wodify YTD'!$A$1:$D$1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2" l="1"/>
  <c r="C99" i="2"/>
  <c r="B99" i="2"/>
  <c r="B100" i="2" s="1"/>
  <c r="D98" i="2"/>
  <c r="D96" i="2"/>
  <c r="C94" i="2"/>
  <c r="C101" i="2" s="1"/>
  <c r="B94" i="2"/>
  <c r="D93" i="2"/>
  <c r="D92" i="2"/>
  <c r="D88" i="2"/>
  <c r="C87" i="2"/>
  <c r="B87" i="2"/>
  <c r="D87" i="2" s="1"/>
  <c r="D86" i="2"/>
  <c r="D85" i="2"/>
  <c r="D82" i="2"/>
  <c r="C82" i="2"/>
  <c r="B82" i="2"/>
  <c r="D78" i="2"/>
  <c r="D75" i="2"/>
  <c r="D74" i="2"/>
  <c r="D71" i="2"/>
  <c r="D70" i="2"/>
  <c r="D68" i="2"/>
  <c r="C68" i="2"/>
  <c r="B68" i="2"/>
  <c r="D67" i="2"/>
  <c r="C64" i="2"/>
  <c r="D64" i="2" s="1"/>
  <c r="B64" i="2"/>
  <c r="D63" i="2"/>
  <c r="D62" i="2"/>
  <c r="D61" i="2"/>
  <c r="D60" i="2"/>
  <c r="C59" i="2"/>
  <c r="C65" i="2" s="1"/>
  <c r="C89" i="2" s="1"/>
  <c r="B59" i="2"/>
  <c r="D59" i="2" s="1"/>
  <c r="D58" i="2"/>
  <c r="D57" i="2"/>
  <c r="C56" i="2"/>
  <c r="B56" i="2"/>
  <c r="D56" i="2" s="1"/>
  <c r="D55" i="2"/>
  <c r="D54" i="2"/>
  <c r="D52" i="2"/>
  <c r="D51" i="2"/>
  <c r="C50" i="2"/>
  <c r="B50" i="2"/>
  <c r="D50" i="2" s="1"/>
  <c r="D49" i="2"/>
  <c r="D47" i="2"/>
  <c r="D46" i="2"/>
  <c r="D44" i="2"/>
  <c r="D43" i="2"/>
  <c r="C42" i="2"/>
  <c r="B42" i="2"/>
  <c r="D42" i="2" s="1"/>
  <c r="D41" i="2"/>
  <c r="D40" i="2"/>
  <c r="D39" i="2"/>
  <c r="D38" i="2"/>
  <c r="C36" i="2"/>
  <c r="B36" i="2"/>
  <c r="D36" i="2" s="1"/>
  <c r="D35" i="2"/>
  <c r="D34" i="2"/>
  <c r="D33" i="2"/>
  <c r="D31" i="2"/>
  <c r="D29" i="2"/>
  <c r="C29" i="2"/>
  <c r="B29" i="2"/>
  <c r="D28" i="2"/>
  <c r="D27" i="2"/>
  <c r="D25" i="2"/>
  <c r="C23" i="2"/>
  <c r="C90" i="2" s="1"/>
  <c r="B23" i="2"/>
  <c r="C22" i="2"/>
  <c r="B22" i="2"/>
  <c r="D22" i="2" s="1"/>
  <c r="D21" i="2"/>
  <c r="C19" i="2"/>
  <c r="B19" i="2"/>
  <c r="D19" i="2" s="1"/>
  <c r="D18" i="2"/>
  <c r="D17" i="2"/>
  <c r="D16" i="2"/>
  <c r="D15" i="2"/>
  <c r="D13" i="2"/>
  <c r="D12" i="2"/>
  <c r="D9" i="2"/>
  <c r="D8" i="2"/>
  <c r="G69" i="6"/>
  <c r="F69" i="6"/>
  <c r="E69" i="6"/>
  <c r="D69" i="6"/>
  <c r="C69" i="6"/>
  <c r="B69" i="6"/>
  <c r="G55" i="6"/>
  <c r="F55" i="6"/>
  <c r="E55" i="6"/>
  <c r="D55" i="6"/>
  <c r="C55" i="6"/>
  <c r="B55" i="6"/>
  <c r="G50" i="6"/>
  <c r="F50" i="6"/>
  <c r="C50" i="6"/>
  <c r="B50" i="6"/>
  <c r="G48" i="6"/>
  <c r="F48" i="6"/>
  <c r="E48" i="6"/>
  <c r="E50" i="6" s="1"/>
  <c r="D48" i="6"/>
  <c r="D50" i="6" s="1"/>
  <c r="C48" i="6"/>
  <c r="B48" i="6"/>
  <c r="G43" i="6"/>
  <c r="F43" i="6"/>
  <c r="E43" i="6"/>
  <c r="D43" i="6"/>
  <c r="C43" i="6"/>
  <c r="B43" i="6"/>
  <c r="G37" i="6"/>
  <c r="G51" i="6" s="1"/>
  <c r="G56" i="6" s="1"/>
  <c r="G70" i="6" s="1"/>
  <c r="F37" i="6"/>
  <c r="F51" i="6" s="1"/>
  <c r="F56" i="6" s="1"/>
  <c r="F70" i="6" s="1"/>
  <c r="E37" i="6"/>
  <c r="E51" i="6" s="1"/>
  <c r="E56" i="6" s="1"/>
  <c r="E70" i="6" s="1"/>
  <c r="D37" i="6"/>
  <c r="D51" i="6" s="1"/>
  <c r="D56" i="6" s="1"/>
  <c r="D70" i="6" s="1"/>
  <c r="C37" i="6"/>
  <c r="C51" i="6" s="1"/>
  <c r="C56" i="6" s="1"/>
  <c r="C70" i="6" s="1"/>
  <c r="B37" i="6"/>
  <c r="B51" i="6" s="1"/>
  <c r="B56" i="6" s="1"/>
  <c r="B70" i="6" s="1"/>
  <c r="G30" i="6"/>
  <c r="F30" i="6"/>
  <c r="E30" i="6"/>
  <c r="D30" i="6"/>
  <c r="C30" i="6"/>
  <c r="B30" i="6"/>
  <c r="G25" i="6"/>
  <c r="F25" i="6"/>
  <c r="E25" i="6"/>
  <c r="D25" i="6"/>
  <c r="C25" i="6"/>
  <c r="B25" i="6"/>
  <c r="G24" i="6"/>
  <c r="F24" i="6"/>
  <c r="E24" i="6"/>
  <c r="D24" i="6"/>
  <c r="C24" i="6"/>
  <c r="B24" i="6"/>
  <c r="G17" i="6"/>
  <c r="G31" i="6" s="1"/>
  <c r="F17" i="6"/>
  <c r="F31" i="6" s="1"/>
  <c r="G16" i="6"/>
  <c r="F16" i="6"/>
  <c r="E16" i="6"/>
  <c r="D16" i="6"/>
  <c r="C16" i="6"/>
  <c r="B16" i="6"/>
  <c r="G11" i="6"/>
  <c r="F11" i="6"/>
  <c r="E11" i="6"/>
  <c r="E17" i="6" s="1"/>
  <c r="E31" i="6" s="1"/>
  <c r="D11" i="6"/>
  <c r="D17" i="6" s="1"/>
  <c r="D31" i="6" s="1"/>
  <c r="C11" i="6"/>
  <c r="C17" i="6" s="1"/>
  <c r="C31" i="6" s="1"/>
  <c r="B11" i="6"/>
  <c r="B17" i="6" s="1"/>
  <c r="B31" i="6" s="1"/>
  <c r="C102" i="2" l="1"/>
  <c r="B101" i="2"/>
  <c r="D101" i="2" s="1"/>
  <c r="D100" i="2"/>
  <c r="D23" i="2"/>
  <c r="B65" i="2"/>
  <c r="D65" i="2" s="1"/>
  <c r="D99" i="2"/>
  <c r="D94" i="2"/>
  <c r="B2" i="3"/>
  <c r="C2" i="3"/>
  <c r="C8" i="3" s="1"/>
  <c r="D2" i="3"/>
  <c r="B3" i="3"/>
  <c r="D3" i="3" s="1"/>
  <c r="C3" i="3"/>
  <c r="B4" i="3"/>
  <c r="D4" i="3"/>
  <c r="B5" i="3"/>
  <c r="C5" i="3"/>
  <c r="D5" i="3"/>
  <c r="B8" i="3"/>
  <c r="D8" i="3" s="1"/>
  <c r="E92" i="1"/>
  <c r="D92" i="1"/>
  <c r="C92" i="1"/>
  <c r="B92" i="1"/>
  <c r="G91" i="1"/>
  <c r="E91" i="1"/>
  <c r="D91" i="1"/>
  <c r="C91" i="1"/>
  <c r="B91" i="1"/>
  <c r="G90" i="1"/>
  <c r="F90" i="1"/>
  <c r="F91" i="1" s="1"/>
  <c r="E90" i="1"/>
  <c r="D90" i="1"/>
  <c r="C90" i="1"/>
  <c r="B90" i="1"/>
  <c r="H89" i="1"/>
  <c r="H87" i="1"/>
  <c r="G85" i="1"/>
  <c r="G92" i="1" s="1"/>
  <c r="F85" i="1"/>
  <c r="E85" i="1"/>
  <c r="D85" i="1"/>
  <c r="C85" i="1"/>
  <c r="B85" i="1"/>
  <c r="H84" i="1"/>
  <c r="H80" i="1"/>
  <c r="G79" i="1"/>
  <c r="F79" i="1"/>
  <c r="H79" i="1" s="1"/>
  <c r="E79" i="1"/>
  <c r="D79" i="1"/>
  <c r="C79" i="1"/>
  <c r="B79" i="1"/>
  <c r="H78" i="1"/>
  <c r="H77" i="1"/>
  <c r="H76" i="1"/>
  <c r="H74" i="1"/>
  <c r="G74" i="1"/>
  <c r="F74" i="1"/>
  <c r="E74" i="1"/>
  <c r="D74" i="1"/>
  <c r="C74" i="1"/>
  <c r="B74" i="1"/>
  <c r="H73" i="1"/>
  <c r="H72" i="1"/>
  <c r="H71" i="1"/>
  <c r="H70" i="1"/>
  <c r="H69" i="1"/>
  <c r="H68" i="1"/>
  <c r="H67" i="1"/>
  <c r="H66" i="1"/>
  <c r="H65" i="1"/>
  <c r="H64" i="1"/>
  <c r="H63" i="1"/>
  <c r="G61" i="1"/>
  <c r="F61" i="1"/>
  <c r="E61" i="1"/>
  <c r="D61" i="1"/>
  <c r="C61" i="1"/>
  <c r="B61" i="1"/>
  <c r="H61" i="1" s="1"/>
  <c r="H60" i="1"/>
  <c r="B58" i="1"/>
  <c r="G57" i="1"/>
  <c r="F57" i="1"/>
  <c r="E57" i="1"/>
  <c r="D57" i="1"/>
  <c r="C57" i="1"/>
  <c r="B57" i="1"/>
  <c r="H57" i="1" s="1"/>
  <c r="H56" i="1"/>
  <c r="H54" i="1"/>
  <c r="H53" i="1"/>
  <c r="G52" i="1"/>
  <c r="F52" i="1"/>
  <c r="E52" i="1"/>
  <c r="D52" i="1"/>
  <c r="C52" i="1"/>
  <c r="H52" i="1" s="1"/>
  <c r="B52" i="1"/>
  <c r="H51" i="1"/>
  <c r="H50" i="1"/>
  <c r="G49" i="1"/>
  <c r="F49" i="1"/>
  <c r="E49" i="1"/>
  <c r="D49" i="1"/>
  <c r="H49" i="1" s="1"/>
  <c r="C49" i="1"/>
  <c r="B49" i="1"/>
  <c r="H48" i="1"/>
  <c r="H47" i="1"/>
  <c r="H46" i="1"/>
  <c r="H45" i="1"/>
  <c r="G44" i="1"/>
  <c r="H44" i="1" s="1"/>
  <c r="F44" i="1"/>
  <c r="E44" i="1"/>
  <c r="D44" i="1"/>
  <c r="C44" i="1"/>
  <c r="B44" i="1"/>
  <c r="H43" i="1"/>
  <c r="H42" i="1"/>
  <c r="H41" i="1"/>
  <c r="H40" i="1"/>
  <c r="H39" i="1"/>
  <c r="H38" i="1"/>
  <c r="G37" i="1"/>
  <c r="G58" i="1" s="1"/>
  <c r="F37" i="1"/>
  <c r="F58" i="1" s="1"/>
  <c r="E37" i="1"/>
  <c r="E58" i="1" s="1"/>
  <c r="D37" i="1"/>
  <c r="H37" i="1" s="1"/>
  <c r="C37" i="1"/>
  <c r="B37" i="1"/>
  <c r="H36" i="1"/>
  <c r="H35" i="1"/>
  <c r="H33" i="1"/>
  <c r="G31" i="1"/>
  <c r="G81" i="1" s="1"/>
  <c r="G82" i="1" s="1"/>
  <c r="F31" i="1"/>
  <c r="H31" i="1" s="1"/>
  <c r="E31" i="1"/>
  <c r="D31" i="1"/>
  <c r="C31" i="1"/>
  <c r="B31" i="1"/>
  <c r="H30" i="1"/>
  <c r="H29" i="1"/>
  <c r="H28" i="1"/>
  <c r="H27" i="1"/>
  <c r="G25" i="1"/>
  <c r="F25" i="1"/>
  <c r="E25" i="1"/>
  <c r="D25" i="1"/>
  <c r="C25" i="1"/>
  <c r="B25" i="1"/>
  <c r="H25" i="1" s="1"/>
  <c r="H24" i="1"/>
  <c r="H23" i="1"/>
  <c r="H22" i="1"/>
  <c r="H21" i="1"/>
  <c r="G19" i="1"/>
  <c r="F19" i="1"/>
  <c r="E19" i="1"/>
  <c r="D19" i="1"/>
  <c r="B19" i="1"/>
  <c r="G18" i="1"/>
  <c r="F18" i="1"/>
  <c r="E18" i="1"/>
  <c r="D18" i="1"/>
  <c r="C18" i="1"/>
  <c r="C19" i="1" s="1"/>
  <c r="B18" i="1"/>
  <c r="H17" i="1"/>
  <c r="H16" i="1"/>
  <c r="H15" i="1"/>
  <c r="H14" i="1"/>
  <c r="H13" i="1"/>
  <c r="H12" i="1"/>
  <c r="H11" i="1"/>
  <c r="H10" i="1"/>
  <c r="H9" i="1"/>
  <c r="H8" i="1"/>
  <c r="H7" i="1"/>
  <c r="B89" i="2" l="1"/>
  <c r="G93" i="1"/>
  <c r="F92" i="1"/>
  <c r="H92" i="1" s="1"/>
  <c r="H91" i="1"/>
  <c r="H19" i="1"/>
  <c r="E81" i="1"/>
  <c r="E82" i="1" s="1"/>
  <c r="E93" i="1" s="1"/>
  <c r="F81" i="1"/>
  <c r="F82" i="1" s="1"/>
  <c r="F93" i="1" s="1"/>
  <c r="C58" i="1"/>
  <c r="H58" i="1" s="1"/>
  <c r="H85" i="1"/>
  <c r="D58" i="1"/>
  <c r="D81" i="1" s="1"/>
  <c r="D82" i="1" s="1"/>
  <c r="D93" i="1" s="1"/>
  <c r="H90" i="1"/>
  <c r="B81" i="1"/>
  <c r="H18" i="1"/>
  <c r="D89" i="2" l="1"/>
  <c r="B90" i="2"/>
  <c r="C81" i="1"/>
  <c r="C82" i="1" s="1"/>
  <c r="C93" i="1" s="1"/>
  <c r="B82" i="1"/>
  <c r="H81" i="1"/>
  <c r="B102" i="2" l="1"/>
  <c r="D102" i="2" s="1"/>
  <c r="D90" i="2"/>
  <c r="B93" i="1"/>
  <c r="H93" i="1" s="1"/>
  <c r="H82" i="1"/>
</calcChain>
</file>

<file path=xl/sharedStrings.xml><?xml version="1.0" encoding="utf-8"?>
<sst xmlns="http://schemas.openxmlformats.org/spreadsheetml/2006/main" count="335" uniqueCount="205">
  <si>
    <t>CrossFit East Nashville</t>
  </si>
  <si>
    <t>Profit and Loss</t>
  </si>
  <si>
    <t>January 1-June 30, 2026</t>
  </si>
  <si>
    <t>Income</t>
  </si>
  <si>
    <t>Apparel Sales</t>
  </si>
  <si>
    <t>Drop In Sales</t>
  </si>
  <si>
    <t>Elements Training</t>
  </si>
  <si>
    <t>Equipment Sales</t>
  </si>
  <si>
    <t>Membership</t>
  </si>
  <si>
    <t>Mobile Private Training</t>
  </si>
  <si>
    <t>Personal Training</t>
  </si>
  <si>
    <t>Refunds</t>
  </si>
  <si>
    <t>Rental Income</t>
  </si>
  <si>
    <t>Semi Private Training</t>
  </si>
  <si>
    <t>Vending Sales</t>
  </si>
  <si>
    <t>Total for Income</t>
  </si>
  <si>
    <t>Gross Profit</t>
  </si>
  <si>
    <t>Expenses</t>
  </si>
  <si>
    <t>Advertising &amp; marketing</t>
  </si>
  <si>
    <t>Media</t>
  </si>
  <si>
    <t>Photography &amp; Videography</t>
  </si>
  <si>
    <t>Website ads</t>
  </si>
  <si>
    <t>Total for Advertising &amp; marketing</t>
  </si>
  <si>
    <t>Crossfit Expenses</t>
  </si>
  <si>
    <t>Coaches Attire</t>
  </si>
  <si>
    <t>Events/Competitions</t>
  </si>
  <si>
    <t>Gym Equipment</t>
  </si>
  <si>
    <t>Hosted Events</t>
  </si>
  <si>
    <t>Total for Crossfit Expenses</t>
  </si>
  <si>
    <t>General business expenses</t>
  </si>
  <si>
    <t>Accounting fees</t>
  </si>
  <si>
    <t>Bank fees &amp; service charges</t>
  </si>
  <si>
    <t>Square Fees</t>
  </si>
  <si>
    <t>Wodify Fees</t>
  </si>
  <si>
    <t>Total for Bank fees &amp; service charges</t>
  </si>
  <si>
    <t>Business licenses</t>
  </si>
  <si>
    <t>Cleaning Expense</t>
  </si>
  <si>
    <t>Gifts</t>
  </si>
  <si>
    <t>Insurance</t>
  </si>
  <si>
    <t>Meals</t>
  </si>
  <si>
    <t>Team meals</t>
  </si>
  <si>
    <t>Total for Meals</t>
  </si>
  <si>
    <t>Memberships &amp; subscriptions</t>
  </si>
  <si>
    <t>Office expenses</t>
  </si>
  <si>
    <t>Office supplies</t>
  </si>
  <si>
    <t>Software &amp; apps</t>
  </si>
  <si>
    <t>Total for Office expenses</t>
  </si>
  <si>
    <t>Rent</t>
  </si>
  <si>
    <t>Equipment rental</t>
  </si>
  <si>
    <t>Total for Rent</t>
  </si>
  <si>
    <t>Repairs &amp; maintenance</t>
  </si>
  <si>
    <t>Taxes paid</t>
  </si>
  <si>
    <t>Utilities</t>
  </si>
  <si>
    <t>Internet &amp; TV services</t>
  </si>
  <si>
    <t>Total for Utilities</t>
  </si>
  <si>
    <t>Total for General business expenses</t>
  </si>
  <si>
    <t>Interest paid</t>
  </si>
  <si>
    <t>Investor Interest</t>
  </si>
  <si>
    <t>Total for Interest paid</t>
  </si>
  <si>
    <t>Payroll expenses</t>
  </si>
  <si>
    <t>Administrative Pay</t>
  </si>
  <si>
    <t>Coaching Pay</t>
  </si>
  <si>
    <t>Commissions</t>
  </si>
  <si>
    <t>Contract labor</t>
  </si>
  <si>
    <t>Elements/Intros Pay</t>
  </si>
  <si>
    <t>Mobile Pay</t>
  </si>
  <si>
    <t>Payroll Fees</t>
  </si>
  <si>
    <t>Payroll taxes</t>
  </si>
  <si>
    <t>Salaries &amp; wages</t>
  </si>
  <si>
    <t>Stipend</t>
  </si>
  <si>
    <t>Workers' compensation insurance</t>
  </si>
  <si>
    <t>Total for Payroll expenses</t>
  </si>
  <si>
    <t>Supplies</t>
  </si>
  <si>
    <t>Apparel Supplies</t>
  </si>
  <si>
    <t>Gym Supplies</t>
  </si>
  <si>
    <t>Vending Supplies</t>
  </si>
  <si>
    <t>Total for Supplies</t>
  </si>
  <si>
    <t>Travel for Events</t>
  </si>
  <si>
    <t>Total for Expenses</t>
  </si>
  <si>
    <t>Net Operating Income</t>
  </si>
  <si>
    <t>Other Income</t>
  </si>
  <si>
    <t>Interest earned</t>
  </si>
  <si>
    <t>Total for Other Income</t>
  </si>
  <si>
    <t>Other Expenses</t>
  </si>
  <si>
    <t>Business loan interest</t>
  </si>
  <si>
    <t>Vehicle expenses</t>
  </si>
  <si>
    <t>Parking &amp; tolls</t>
  </si>
  <si>
    <t>Total for Vehicle expenses</t>
  </si>
  <si>
    <t>Total for Other Expenses</t>
  </si>
  <si>
    <t>Net Other Income</t>
  </si>
  <si>
    <t>Net Income</t>
  </si>
  <si>
    <t/>
  </si>
  <si>
    <t>Jan 2026</t>
  </si>
  <si>
    <t>Feb 2026</t>
  </si>
  <si>
    <t>Mar 2026</t>
  </si>
  <si>
    <t>Apr 2026</t>
  </si>
  <si>
    <t>May 2026</t>
  </si>
  <si>
    <t>Jun 2026</t>
  </si>
  <si>
    <t>Total</t>
  </si>
  <si>
    <t>Accrual Basis Thursday, July 09, 2026 05:49 PM GMTZ</t>
  </si>
  <si>
    <t>Credit card rewards</t>
  </si>
  <si>
    <t>Platinum Pay</t>
  </si>
  <si>
    <t>Shipping &amp; postage</t>
  </si>
  <si>
    <t>Entertainment</t>
  </si>
  <si>
    <t>Training Courses</t>
  </si>
  <si>
    <t>Total for Cost of Goods Sold</t>
  </si>
  <si>
    <t>Cost of goods sold</t>
  </si>
  <si>
    <t>Cost of Goods Sold</t>
  </si>
  <si>
    <t>% Change (PY YTD)</t>
  </si>
  <si>
    <t>Jan 1 - Jun 30 2025 (PY YTD)</t>
  </si>
  <si>
    <t>Jan 1 - Jun 30 2026</t>
  </si>
  <si>
    <t>OTHER</t>
  </si>
  <si>
    <t>Drop Ins</t>
  </si>
  <si>
    <t>Vending</t>
  </si>
  <si>
    <t>Apparel</t>
  </si>
  <si>
    <t>Difference</t>
  </si>
  <si>
    <t>Quickbooks Less Venmo</t>
  </si>
  <si>
    <t>Square + Wodify</t>
  </si>
  <si>
    <t>Products and Apparel</t>
  </si>
  <si>
    <t>Food/Drink/Supplements</t>
  </si>
  <si>
    <t>Clothing</t>
  </si>
  <si>
    <t>CFEN SWAG</t>
  </si>
  <si>
    <t>Taxes</t>
  </si>
  <si>
    <t>Net Sales</t>
  </si>
  <si>
    <t>Discounts &amp; Comps</t>
  </si>
  <si>
    <t>Items Refunded</t>
  </si>
  <si>
    <t>Gross Sales</t>
  </si>
  <si>
    <t>Items Sold</t>
  </si>
  <si>
    <t>Category</t>
  </si>
  <si>
    <t>Merchandise Sales</t>
  </si>
  <si>
    <t>Membership Sales</t>
  </si>
  <si>
    <t>Drop-Ins</t>
  </si>
  <si>
    <t>Net Revenue</t>
  </si>
  <si>
    <t>Quantity Sold</t>
  </si>
  <si>
    <t>Location</t>
  </si>
  <si>
    <t>Revenue Category</t>
  </si>
  <si>
    <t>Kenzie - $900</t>
  </si>
  <si>
    <t>Total for Liabilities and Equity</t>
  </si>
  <si>
    <t>Total for Equity</t>
  </si>
  <si>
    <t>Retained Earnings</t>
  </si>
  <si>
    <t>Steven Longcrier</t>
  </si>
  <si>
    <t>Robert Clifton</t>
  </si>
  <si>
    <t>Opening balance equity</t>
  </si>
  <si>
    <t>Jon &amp; Jordyn Schumm</t>
  </si>
  <si>
    <t>Jay Lee</t>
  </si>
  <si>
    <t>Demi Maslowski</t>
  </si>
  <si>
    <t>Christian Longcrier</t>
  </si>
  <si>
    <t>Brett Lee</t>
  </si>
  <si>
    <t>Bob Elrod</t>
  </si>
  <si>
    <t>Equity</t>
  </si>
  <si>
    <t>Total for Liabilities</t>
  </si>
  <si>
    <t>Total for Long-term Liabilities</t>
  </si>
  <si>
    <t>Long-term loans from partners</t>
  </si>
  <si>
    <t>Long-term business loans</t>
  </si>
  <si>
    <t>Long-term Liabilities</t>
  </si>
  <si>
    <t>Total for Current Liabilities</t>
  </si>
  <si>
    <t>Total for Other Current Liabilities</t>
  </si>
  <si>
    <t>Sales tax to pay</t>
  </si>
  <si>
    <t>Total for Payroll wages and tax to pay</t>
  </si>
  <si>
    <t>Payroll tax to pay</t>
  </si>
  <si>
    <t>Payroll wages and tax to pay</t>
  </si>
  <si>
    <t>Accrued Expenses</t>
  </si>
  <si>
    <t>Other Current Liabilities</t>
  </si>
  <si>
    <t>Total for Credit Cards</t>
  </si>
  <si>
    <t>REAL ESTATE-COMML (5068) - 1</t>
  </si>
  <si>
    <t>Jordyn (6273) - 2</t>
  </si>
  <si>
    <t>J. SCHUMM (6299) - 2</t>
  </si>
  <si>
    <t>C. LONGCRIER (6281) - 2</t>
  </si>
  <si>
    <t>Credit Cards</t>
  </si>
  <si>
    <t>Total for Accounts Payable</t>
  </si>
  <si>
    <t>Accounts Payable (A/P)</t>
  </si>
  <si>
    <t>Accounts Payable</t>
  </si>
  <si>
    <t>Current Liabilities</t>
  </si>
  <si>
    <t>Liabilities</t>
  </si>
  <si>
    <t>Liabilities and Equity</t>
  </si>
  <si>
    <t>Total for Assets</t>
  </si>
  <si>
    <t>Total for Other Assets</t>
  </si>
  <si>
    <t>Security deposits</t>
  </si>
  <si>
    <t>Loan Fees</t>
  </si>
  <si>
    <t>Goodwill</t>
  </si>
  <si>
    <t>Other Assets</t>
  </si>
  <si>
    <t>Total for Fixed Assets</t>
  </si>
  <si>
    <t>Total for Improvements</t>
  </si>
  <si>
    <t>Gym Improvements</t>
  </si>
  <si>
    <t>Improvements</t>
  </si>
  <si>
    <t>Equipment</t>
  </si>
  <si>
    <t>Accumulated depreciation</t>
  </si>
  <si>
    <t>Accumulated amortization</t>
  </si>
  <si>
    <t>Fixed Assets</t>
  </si>
  <si>
    <t>Total for Current Assets</t>
  </si>
  <si>
    <t>Total for Other Current Assets</t>
  </si>
  <si>
    <t>Prepaid expenses</t>
  </si>
  <si>
    <t>Payments to deposit</t>
  </si>
  <si>
    <t>Inventory Asset</t>
  </si>
  <si>
    <t>Other Current Assets</t>
  </si>
  <si>
    <t>Total for Bank Accounts</t>
  </si>
  <si>
    <t>Live Oak Bank</t>
  </si>
  <si>
    <t>Checking (7608)</t>
  </si>
  <si>
    <t>Bank Accounts</t>
  </si>
  <si>
    <t>Current Assets</t>
  </si>
  <si>
    <t>Assets</t>
  </si>
  <si>
    <t>As of Jun 30, 2026</t>
  </si>
  <si>
    <t>Balance Sheet</t>
  </si>
  <si>
    <t>Accrual Basis Thursday, July 09, 2026 06:45 PM GMTZ</t>
  </si>
  <si>
    <t>Accrual Basis Thursday, July 09, 2026 06:46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</si>
</sst>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#,##0.00\%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2" fillId="0" borderId="1"/>
    <xf numFmtId="0" fontId="2" fillId="0" borderId="0"/>
    <xf numFmtId="0" fontId="2" fillId="0" borderId="2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0" fillId="0" borderId="0"/>
  </cellStyleXfs>
  <cellXfs count="39">
    <xf numFmtId="0" fontId="0" fillId="0" borderId="0" xfId="0"/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0" fontId="3" fillId="0" borderId="0" xfId="0" applyFont="1" applyAlignment="1">
      <alignment wrapText="1"/>
    </xf>
    <xf numFmtId="4" fontId="3" fillId="0" borderId="0" xfId="0" applyNumberFormat="1" applyFont="1" applyAlignment="1">
      <alignment wrapText="1"/>
    </xf>
    <xf numFmtId="4" fontId="5" fillId="0" borderId="2" xfId="0" applyNumberFormat="1" applyFont="1" applyBorder="1" applyAlignment="1">
      <alignment wrapText="1"/>
    </xf>
    <xf numFmtId="164" fontId="5" fillId="0" borderId="2" xfId="0" applyNumberFormat="1" applyFont="1" applyBorder="1" applyAlignment="1">
      <alignment wrapText="1"/>
    </xf>
    <xf numFmtId="165" fontId="5" fillId="0" borderId="2" xfId="0" applyNumberFormat="1" applyFont="1" applyBorder="1" applyAlignment="1">
      <alignment wrapText="1"/>
    </xf>
    <xf numFmtId="165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0" fontId="0" fillId="0" borderId="1" xfId="0" applyBorder="1" applyAlignment="1">
      <alignment wrapText="1"/>
    </xf>
    <xf numFmtId="0" fontId="1" fillId="0" borderId="0" xfId="4"/>
    <xf numFmtId="44" fontId="0" fillId="0" borderId="0" xfId="5" applyFont="1"/>
    <xf numFmtId="8" fontId="1" fillId="0" borderId="0" xfId="4" applyNumberFormat="1"/>
    <xf numFmtId="0" fontId="1" fillId="0" borderId="0" xfId="6"/>
    <xf numFmtId="8" fontId="1" fillId="0" borderId="0" xfId="6" applyNumberFormat="1"/>
    <xf numFmtId="8" fontId="9" fillId="0" borderId="0" xfId="5" applyNumberFormat="1" applyFont="1" applyFill="1"/>
    <xf numFmtId="8" fontId="0" fillId="0" borderId="0" xfId="5" applyNumberFormat="1" applyFont="1" applyFill="1"/>
    <xf numFmtId="8" fontId="0" fillId="0" borderId="0" xfId="5" applyNumberFormat="1" applyFont="1"/>
    <xf numFmtId="0" fontId="10" fillId="0" borderId="0" xfId="7"/>
    <xf numFmtId="4" fontId="10" fillId="0" borderId="0" xfId="7" applyNumberFormat="1"/>
    <xf numFmtId="0" fontId="5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5"/>
    </xf>
    <xf numFmtId="0" fontId="4" fillId="0" borderId="1" xfId="1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</cellXfs>
  <cellStyles count="8">
    <cellStyle name="Currency 2" xfId="5" xr:uid="{113004FB-D22D-4DF1-B55C-490B6865D8C4}"/>
    <cellStyle name="GroupedCellStyle" xfId="2" xr:uid="{00000000-0005-0000-0000-000007000000}"/>
    <cellStyle name="HeaderCellStyle" xfId="1" xr:uid="{00000000-0005-0000-0000-000006000000}"/>
    <cellStyle name="Normal" xfId="0" builtinId="0"/>
    <cellStyle name="Normal 2" xfId="4" xr:uid="{B1A8CC83-5A71-40F7-BFE6-DFFDE13F2220}"/>
    <cellStyle name="Normal 2 2" xfId="7" xr:uid="{2F1E8582-8171-4F98-9C9D-75A06EC6C524}"/>
    <cellStyle name="Normal 2 3" xfId="6" xr:uid="{4B1C7DDC-ECE4-46E3-BED3-8FB9A82B0AC0}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C469-8888-4CE2-8B8B-B738D5425FA4}">
  <dimension ref="A1:G74"/>
  <sheetViews>
    <sheetView workbookViewId="0">
      <selection activeCell="I74" sqref="I74"/>
    </sheetView>
  </sheetViews>
  <sheetFormatPr defaultColWidth="11.296875" defaultRowHeight="15.6" x14ac:dyDescent="0.3"/>
  <cols>
    <col min="1" max="1" width="33.19921875" style="13" customWidth="1"/>
    <col min="2" max="2" width="17" style="13" customWidth="1"/>
    <col min="3" max="7" width="16.09765625" style="13" customWidth="1"/>
  </cols>
  <sheetData>
    <row r="1" spans="1:7" ht="15.6" customHeight="1" x14ac:dyDescent="0.3">
      <c r="A1" s="5" t="s">
        <v>0</v>
      </c>
      <c r="B1" s="4"/>
      <c r="C1" s="4"/>
      <c r="D1" s="4"/>
      <c r="E1" s="4"/>
      <c r="F1" s="4"/>
      <c r="G1" s="4"/>
    </row>
    <row r="2" spans="1:7" x14ac:dyDescent="0.3">
      <c r="A2" s="3" t="s">
        <v>202</v>
      </c>
      <c r="B2" s="4"/>
      <c r="C2" s="4"/>
      <c r="D2" s="4"/>
      <c r="E2" s="4"/>
      <c r="F2" s="4"/>
      <c r="G2" s="4"/>
    </row>
    <row r="3" spans="1:7" x14ac:dyDescent="0.3">
      <c r="A3" s="2" t="s">
        <v>201</v>
      </c>
      <c r="B3" s="4"/>
      <c r="C3" s="4"/>
      <c r="D3" s="4"/>
      <c r="E3" s="4"/>
      <c r="F3" s="4"/>
      <c r="G3" s="4"/>
    </row>
    <row r="5" spans="1:7" x14ac:dyDescent="0.3">
      <c r="A5" s="14" t="s">
        <v>91</v>
      </c>
      <c r="B5" s="14" t="s">
        <v>92</v>
      </c>
      <c r="C5" s="14" t="s">
        <v>93</v>
      </c>
      <c r="D5" s="14" t="s">
        <v>94</v>
      </c>
      <c r="E5" s="14" t="s">
        <v>95</v>
      </c>
      <c r="F5" s="14" t="s">
        <v>96</v>
      </c>
      <c r="G5" s="14" t="s">
        <v>97</v>
      </c>
    </row>
    <row r="6" spans="1:7" x14ac:dyDescent="0.3">
      <c r="A6" s="6" t="s">
        <v>200</v>
      </c>
      <c r="B6" s="15"/>
      <c r="C6" s="15"/>
      <c r="D6" s="15"/>
      <c r="E6" s="15"/>
      <c r="F6" s="15"/>
      <c r="G6" s="15"/>
    </row>
    <row r="7" spans="1:7" x14ac:dyDescent="0.3">
      <c r="A7" s="7" t="s">
        <v>199</v>
      </c>
      <c r="B7" s="15"/>
      <c r="C7" s="15"/>
      <c r="D7" s="15"/>
      <c r="E7" s="15"/>
      <c r="F7" s="15"/>
      <c r="G7" s="15"/>
    </row>
    <row r="8" spans="1:7" x14ac:dyDescent="0.3">
      <c r="A8" s="9" t="s">
        <v>198</v>
      </c>
      <c r="B8" s="15"/>
      <c r="C8" s="15"/>
      <c r="D8" s="15"/>
      <c r="E8" s="15"/>
      <c r="F8" s="15"/>
      <c r="G8" s="15"/>
    </row>
    <row r="9" spans="1:7" x14ac:dyDescent="0.3">
      <c r="A9" s="11" t="s">
        <v>197</v>
      </c>
      <c r="B9" s="16">
        <v>34893.96</v>
      </c>
      <c r="C9" s="16">
        <v>32590.59</v>
      </c>
      <c r="D9" s="16">
        <v>25837.06</v>
      </c>
      <c r="E9" s="16">
        <v>28148.89</v>
      </c>
      <c r="F9" s="16">
        <v>29672.87</v>
      </c>
      <c r="G9" s="16">
        <v>36323.39</v>
      </c>
    </row>
    <row r="10" spans="1:7" x14ac:dyDescent="0.3">
      <c r="A10" s="11" t="s">
        <v>196</v>
      </c>
      <c r="B10" s="16">
        <v>103908.09</v>
      </c>
      <c r="C10" s="16">
        <v>113352.53</v>
      </c>
      <c r="D10" s="16">
        <v>128344.83</v>
      </c>
      <c r="E10" s="16">
        <v>133412.37</v>
      </c>
      <c r="F10" s="16">
        <v>138739.26</v>
      </c>
      <c r="G10" s="16">
        <v>105128.84000000001</v>
      </c>
    </row>
    <row r="11" spans="1:7" x14ac:dyDescent="0.3">
      <c r="A11" s="12" t="s">
        <v>195</v>
      </c>
      <c r="B11" s="17">
        <f t="shared" ref="B11:G11" si="0">B8+B9+B10</f>
        <v>138802.04999999999</v>
      </c>
      <c r="C11" s="17">
        <f t="shared" si="0"/>
        <v>145943.12</v>
      </c>
      <c r="D11" s="17">
        <f t="shared" si="0"/>
        <v>154181.89000000001</v>
      </c>
      <c r="E11" s="17">
        <f t="shared" si="0"/>
        <v>161561.26</v>
      </c>
      <c r="F11" s="17">
        <f t="shared" si="0"/>
        <v>168412.13</v>
      </c>
      <c r="G11" s="17">
        <f t="shared" si="0"/>
        <v>141452.23000000001</v>
      </c>
    </row>
    <row r="12" spans="1:7" x14ac:dyDescent="0.3">
      <c r="A12" s="9" t="s">
        <v>194</v>
      </c>
      <c r="B12" s="15"/>
      <c r="C12" s="15"/>
      <c r="D12" s="15"/>
      <c r="E12" s="15"/>
      <c r="F12" s="15"/>
      <c r="G12" s="15"/>
    </row>
    <row r="13" spans="1:7" x14ac:dyDescent="0.3">
      <c r="A13" s="11" t="s">
        <v>193</v>
      </c>
      <c r="B13" s="16">
        <v>-230</v>
      </c>
      <c r="C13" s="16">
        <v>-230</v>
      </c>
      <c r="D13" s="16">
        <v>-230</v>
      </c>
      <c r="E13" s="16">
        <v>-230</v>
      </c>
      <c r="F13" s="16">
        <v>-230</v>
      </c>
      <c r="G13" s="16">
        <v>-230</v>
      </c>
    </row>
    <row r="14" spans="1:7" x14ac:dyDescent="0.3">
      <c r="A14" s="11" t="s">
        <v>192</v>
      </c>
      <c r="B14" s="16">
        <v>2974.29</v>
      </c>
      <c r="C14" s="16">
        <v>5821.73</v>
      </c>
      <c r="D14" s="16">
        <v>7919.3099999999995</v>
      </c>
      <c r="E14" s="16">
        <v>7340.5499999999993</v>
      </c>
      <c r="F14" s="16">
        <v>5913.9499999999989</v>
      </c>
      <c r="G14" s="16">
        <v>6157.2399999999989</v>
      </c>
    </row>
    <row r="15" spans="1:7" x14ac:dyDescent="0.3">
      <c r="A15" s="11" t="s">
        <v>191</v>
      </c>
      <c r="B15" s="16">
        <v>26563.899999999998</v>
      </c>
      <c r="C15" s="16">
        <v>25734.159999999996</v>
      </c>
      <c r="D15" s="16">
        <v>24904.419999999995</v>
      </c>
      <c r="E15" s="16">
        <v>23359.079999999994</v>
      </c>
      <c r="F15" s="16">
        <v>22529.339999999993</v>
      </c>
      <c r="G15" s="16">
        <v>22415.199999999993</v>
      </c>
    </row>
    <row r="16" spans="1:7" x14ac:dyDescent="0.3">
      <c r="A16" s="12" t="s">
        <v>190</v>
      </c>
      <c r="B16" s="17">
        <f t="shared" ref="B16:G16" si="1">B12+B13+B14+B15</f>
        <v>29308.19</v>
      </c>
      <c r="C16" s="17">
        <f t="shared" si="1"/>
        <v>31325.889999999996</v>
      </c>
      <c r="D16" s="17">
        <f t="shared" si="1"/>
        <v>32593.729999999996</v>
      </c>
      <c r="E16" s="17">
        <f t="shared" si="1"/>
        <v>30469.629999999994</v>
      </c>
      <c r="F16" s="17">
        <f t="shared" si="1"/>
        <v>28213.289999999994</v>
      </c>
      <c r="G16" s="17">
        <f t="shared" si="1"/>
        <v>28342.439999999991</v>
      </c>
    </row>
    <row r="17" spans="1:7" x14ac:dyDescent="0.3">
      <c r="A17" s="10" t="s">
        <v>189</v>
      </c>
      <c r="B17" s="17">
        <f t="shared" ref="B17:G17" si="2">B7+B11+B16</f>
        <v>168110.24</v>
      </c>
      <c r="C17" s="17">
        <f t="shared" si="2"/>
        <v>177269.00999999998</v>
      </c>
      <c r="D17" s="17">
        <f t="shared" si="2"/>
        <v>186775.62</v>
      </c>
      <c r="E17" s="17">
        <f t="shared" si="2"/>
        <v>192030.89</v>
      </c>
      <c r="F17" s="17">
        <f t="shared" si="2"/>
        <v>196625.41999999998</v>
      </c>
      <c r="G17" s="17">
        <f t="shared" si="2"/>
        <v>169794.67</v>
      </c>
    </row>
    <row r="18" spans="1:7" x14ac:dyDescent="0.3">
      <c r="A18" s="7" t="s">
        <v>188</v>
      </c>
      <c r="B18" s="15"/>
      <c r="C18" s="15"/>
      <c r="D18" s="15"/>
      <c r="E18" s="15"/>
      <c r="F18" s="15"/>
      <c r="G18" s="15"/>
    </row>
    <row r="19" spans="1:7" x14ac:dyDescent="0.3">
      <c r="A19" s="9" t="s">
        <v>187</v>
      </c>
      <c r="B19" s="16">
        <v>-155714</v>
      </c>
      <c r="C19" s="16">
        <v>-155714</v>
      </c>
      <c r="D19" s="16">
        <v>-155714</v>
      </c>
      <c r="E19" s="16">
        <v>-155714</v>
      </c>
      <c r="F19" s="16">
        <v>-155714</v>
      </c>
      <c r="G19" s="16">
        <v>-155714</v>
      </c>
    </row>
    <row r="20" spans="1:7" x14ac:dyDescent="0.3">
      <c r="A20" s="9" t="s">
        <v>186</v>
      </c>
      <c r="B20" s="16">
        <v>-40300</v>
      </c>
      <c r="C20" s="16">
        <v>-40300</v>
      </c>
      <c r="D20" s="16">
        <v>-40300</v>
      </c>
      <c r="E20" s="16">
        <v>-40300</v>
      </c>
      <c r="F20" s="16">
        <v>-40300</v>
      </c>
      <c r="G20" s="16">
        <v>-40300</v>
      </c>
    </row>
    <row r="21" spans="1:7" x14ac:dyDescent="0.3">
      <c r="A21" s="9" t="s">
        <v>185</v>
      </c>
      <c r="B21" s="16">
        <v>26000</v>
      </c>
      <c r="C21" s="16">
        <v>26000</v>
      </c>
      <c r="D21" s="16">
        <v>26000</v>
      </c>
      <c r="E21" s="16">
        <v>26000</v>
      </c>
      <c r="F21" s="16">
        <v>26000</v>
      </c>
      <c r="G21" s="16">
        <v>26000</v>
      </c>
    </row>
    <row r="22" spans="1:7" x14ac:dyDescent="0.3">
      <c r="A22" s="9" t="s">
        <v>184</v>
      </c>
      <c r="B22" s="15"/>
      <c r="C22" s="15"/>
      <c r="D22" s="15"/>
      <c r="E22" s="15"/>
      <c r="F22" s="15"/>
      <c r="G22" s="15"/>
    </row>
    <row r="23" spans="1:7" x14ac:dyDescent="0.3">
      <c r="A23" s="11" t="s">
        <v>183</v>
      </c>
      <c r="B23" s="16">
        <v>14225</v>
      </c>
      <c r="C23" s="16">
        <v>14225</v>
      </c>
      <c r="D23" s="16">
        <v>14225</v>
      </c>
      <c r="E23" s="16">
        <v>14225</v>
      </c>
      <c r="F23" s="16">
        <v>14225</v>
      </c>
      <c r="G23" s="16">
        <v>48125</v>
      </c>
    </row>
    <row r="24" spans="1:7" x14ac:dyDescent="0.3">
      <c r="A24" s="12" t="s">
        <v>182</v>
      </c>
      <c r="B24" s="17">
        <f t="shared" ref="B24:G24" si="3">B22+B23</f>
        <v>14225</v>
      </c>
      <c r="C24" s="17">
        <f t="shared" si="3"/>
        <v>14225</v>
      </c>
      <c r="D24" s="17">
        <f t="shared" si="3"/>
        <v>14225</v>
      </c>
      <c r="E24" s="17">
        <f t="shared" si="3"/>
        <v>14225</v>
      </c>
      <c r="F24" s="17">
        <f t="shared" si="3"/>
        <v>14225</v>
      </c>
      <c r="G24" s="17">
        <f t="shared" si="3"/>
        <v>48125</v>
      </c>
    </row>
    <row r="25" spans="1:7" x14ac:dyDescent="0.3">
      <c r="A25" s="10" t="s">
        <v>181</v>
      </c>
      <c r="B25" s="17">
        <f t="shared" ref="B25:G25" si="4">B18+B19+B20+B21+B24</f>
        <v>-155789</v>
      </c>
      <c r="C25" s="17">
        <f t="shared" si="4"/>
        <v>-155789</v>
      </c>
      <c r="D25" s="17">
        <f t="shared" si="4"/>
        <v>-155789</v>
      </c>
      <c r="E25" s="17">
        <f t="shared" si="4"/>
        <v>-155789</v>
      </c>
      <c r="F25" s="17">
        <f t="shared" si="4"/>
        <v>-155789</v>
      </c>
      <c r="G25" s="17">
        <f t="shared" si="4"/>
        <v>-121889</v>
      </c>
    </row>
    <row r="26" spans="1:7" x14ac:dyDescent="0.3">
      <c r="A26" s="7" t="s">
        <v>180</v>
      </c>
      <c r="B26" s="15"/>
      <c r="C26" s="15"/>
      <c r="D26" s="15"/>
      <c r="E26" s="15"/>
      <c r="F26" s="15"/>
      <c r="G26" s="15"/>
    </row>
    <row r="27" spans="1:7" x14ac:dyDescent="0.3">
      <c r="A27" s="9" t="s">
        <v>179</v>
      </c>
      <c r="B27" s="16">
        <v>990000</v>
      </c>
      <c r="C27" s="16">
        <v>990000</v>
      </c>
      <c r="D27" s="16">
        <v>990000</v>
      </c>
      <c r="E27" s="16">
        <v>990000</v>
      </c>
      <c r="F27" s="16">
        <v>990000</v>
      </c>
      <c r="G27" s="16">
        <v>990000</v>
      </c>
    </row>
    <row r="28" spans="1:7" x14ac:dyDescent="0.3">
      <c r="A28" s="9" t="s">
        <v>178</v>
      </c>
      <c r="B28" s="16">
        <v>9749.25</v>
      </c>
      <c r="C28" s="16">
        <v>9749.25</v>
      </c>
      <c r="D28" s="16">
        <v>9749.25</v>
      </c>
      <c r="E28" s="16">
        <v>9749.25</v>
      </c>
      <c r="F28" s="16">
        <v>9749.25</v>
      </c>
      <c r="G28" s="16">
        <v>9749.25</v>
      </c>
    </row>
    <row r="29" spans="1:7" x14ac:dyDescent="0.3">
      <c r="A29" s="9" t="s">
        <v>177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x14ac:dyDescent="0.3">
      <c r="A30" s="10" t="s">
        <v>176</v>
      </c>
      <c r="B30" s="17">
        <f t="shared" ref="B30:G30" si="5">B26+B27+B28+B29</f>
        <v>999749.25</v>
      </c>
      <c r="C30" s="17">
        <f t="shared" si="5"/>
        <v>999749.25</v>
      </c>
      <c r="D30" s="17">
        <f t="shared" si="5"/>
        <v>999749.25</v>
      </c>
      <c r="E30" s="17">
        <f t="shared" si="5"/>
        <v>999749.25</v>
      </c>
      <c r="F30" s="17">
        <f t="shared" si="5"/>
        <v>999749.25</v>
      </c>
      <c r="G30" s="17">
        <f t="shared" si="5"/>
        <v>999749.25</v>
      </c>
    </row>
    <row r="31" spans="1:7" x14ac:dyDescent="0.3">
      <c r="A31" s="8" t="s">
        <v>175</v>
      </c>
      <c r="B31" s="17">
        <f t="shared" ref="B31:G31" si="6">B6+B17+B25+B30</f>
        <v>1012070.49</v>
      </c>
      <c r="C31" s="17">
        <f t="shared" si="6"/>
        <v>1021229.26</v>
      </c>
      <c r="D31" s="17">
        <f t="shared" si="6"/>
        <v>1030735.87</v>
      </c>
      <c r="E31" s="17">
        <f t="shared" si="6"/>
        <v>1035991.14</v>
      </c>
      <c r="F31" s="17">
        <f t="shared" si="6"/>
        <v>1040585.6699999999</v>
      </c>
      <c r="G31" s="17">
        <f t="shared" si="6"/>
        <v>1047654.92</v>
      </c>
    </row>
    <row r="32" spans="1:7" x14ac:dyDescent="0.3">
      <c r="A32" s="6" t="s">
        <v>174</v>
      </c>
      <c r="B32" s="15"/>
      <c r="C32" s="15"/>
      <c r="D32" s="15"/>
      <c r="E32" s="15"/>
      <c r="F32" s="15"/>
      <c r="G32" s="15"/>
    </row>
    <row r="33" spans="1:7" x14ac:dyDescent="0.3">
      <c r="A33" s="7" t="s">
        <v>173</v>
      </c>
      <c r="B33" s="15"/>
      <c r="C33" s="15"/>
      <c r="D33" s="15"/>
      <c r="E33" s="15"/>
      <c r="F33" s="15"/>
      <c r="G33" s="15"/>
    </row>
    <row r="34" spans="1:7" x14ac:dyDescent="0.3">
      <c r="A34" s="9" t="s">
        <v>172</v>
      </c>
      <c r="B34" s="15"/>
      <c r="C34" s="15"/>
      <c r="D34" s="15"/>
      <c r="E34" s="15"/>
      <c r="F34" s="15"/>
      <c r="G34" s="15"/>
    </row>
    <row r="35" spans="1:7" x14ac:dyDescent="0.3">
      <c r="A35" s="11" t="s">
        <v>171</v>
      </c>
      <c r="B35" s="15"/>
      <c r="C35" s="15"/>
      <c r="D35" s="15"/>
      <c r="E35" s="15"/>
      <c r="F35" s="15"/>
      <c r="G35" s="15"/>
    </row>
    <row r="36" spans="1:7" x14ac:dyDescent="0.3">
      <c r="A36" s="34" t="s">
        <v>170</v>
      </c>
      <c r="B36" s="16">
        <v>1190</v>
      </c>
      <c r="C36" s="16">
        <v>1190</v>
      </c>
      <c r="D36" s="16">
        <v>365</v>
      </c>
      <c r="E36" s="16">
        <v>825</v>
      </c>
      <c r="F36" s="16">
        <v>825</v>
      </c>
      <c r="G36" s="16">
        <v>825</v>
      </c>
    </row>
    <row r="37" spans="1:7" x14ac:dyDescent="0.3">
      <c r="A37" s="33" t="s">
        <v>169</v>
      </c>
      <c r="B37" s="17">
        <f t="shared" ref="B37:G37" si="7">B35+B36</f>
        <v>1190</v>
      </c>
      <c r="C37" s="17">
        <f t="shared" si="7"/>
        <v>1190</v>
      </c>
      <c r="D37" s="17">
        <f t="shared" si="7"/>
        <v>365</v>
      </c>
      <c r="E37" s="17">
        <f t="shared" si="7"/>
        <v>825</v>
      </c>
      <c r="F37" s="17">
        <f t="shared" si="7"/>
        <v>825</v>
      </c>
      <c r="G37" s="17">
        <f t="shared" si="7"/>
        <v>825</v>
      </c>
    </row>
    <row r="38" spans="1:7" x14ac:dyDescent="0.3">
      <c r="A38" s="11" t="s">
        <v>168</v>
      </c>
      <c r="B38" s="15"/>
      <c r="C38" s="15"/>
      <c r="D38" s="15"/>
      <c r="E38" s="15"/>
      <c r="F38" s="15"/>
      <c r="G38" s="15"/>
    </row>
    <row r="39" spans="1:7" x14ac:dyDescent="0.3">
      <c r="A39" s="34" t="s">
        <v>167</v>
      </c>
      <c r="B39" s="16">
        <v>67923.290000000008</v>
      </c>
      <c r="C39" s="16">
        <v>72925.16</v>
      </c>
      <c r="D39" s="16">
        <v>81938.16</v>
      </c>
      <c r="E39" s="16">
        <v>84834.290000000008</v>
      </c>
      <c r="F39" s="16">
        <v>87684.27</v>
      </c>
      <c r="G39" s="16">
        <v>88093.77</v>
      </c>
    </row>
    <row r="40" spans="1:7" x14ac:dyDescent="0.3">
      <c r="A40" s="34" t="s">
        <v>166</v>
      </c>
      <c r="B40" s="16">
        <v>13888.769999999999</v>
      </c>
      <c r="C40" s="16">
        <v>14072.989999999998</v>
      </c>
      <c r="D40" s="16">
        <v>15230.039999999997</v>
      </c>
      <c r="E40" s="16">
        <v>15612.369999999997</v>
      </c>
      <c r="F40" s="16">
        <v>16506.159999999996</v>
      </c>
      <c r="G40" s="16">
        <v>16716.069999999996</v>
      </c>
    </row>
    <row r="41" spans="1:7" x14ac:dyDescent="0.3">
      <c r="A41" s="34" t="s">
        <v>165</v>
      </c>
      <c r="B41" s="16">
        <v>-59559.590000000004</v>
      </c>
      <c r="C41" s="16">
        <v>-58716.41</v>
      </c>
      <c r="D41" s="16">
        <v>-67404.540000000008</v>
      </c>
      <c r="E41" s="16">
        <v>-70888.33</v>
      </c>
      <c r="F41" s="16">
        <v>-83474.720000000001</v>
      </c>
      <c r="G41" s="16">
        <v>-84505.31</v>
      </c>
    </row>
    <row r="42" spans="1:7" x14ac:dyDescent="0.3">
      <c r="A42" s="34" t="s">
        <v>164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</row>
    <row r="43" spans="1:7" x14ac:dyDescent="0.3">
      <c r="A43" s="33" t="s">
        <v>163</v>
      </c>
      <c r="B43" s="17">
        <f t="shared" ref="B43:G43" si="8">B38+B39+B40+B41+B42</f>
        <v>22252.470000000008</v>
      </c>
      <c r="C43" s="17">
        <f t="shared" si="8"/>
        <v>28281.739999999991</v>
      </c>
      <c r="D43" s="17">
        <f t="shared" si="8"/>
        <v>29763.659999999989</v>
      </c>
      <c r="E43" s="17">
        <f t="shared" si="8"/>
        <v>29558.33</v>
      </c>
      <c r="F43" s="17">
        <f t="shared" si="8"/>
        <v>20715.709999999992</v>
      </c>
      <c r="G43" s="17">
        <f t="shared" si="8"/>
        <v>20304.53</v>
      </c>
    </row>
    <row r="44" spans="1:7" x14ac:dyDescent="0.3">
      <c r="A44" s="11" t="s">
        <v>162</v>
      </c>
      <c r="B44" s="15"/>
      <c r="C44" s="15"/>
      <c r="D44" s="15"/>
      <c r="E44" s="15"/>
      <c r="F44" s="15"/>
      <c r="G44" s="15"/>
    </row>
    <row r="45" spans="1:7" x14ac:dyDescent="0.3">
      <c r="A45" s="34" t="s">
        <v>161</v>
      </c>
      <c r="B45" s="16">
        <v>16370.5</v>
      </c>
      <c r="C45" s="16">
        <v>16511.099999999999</v>
      </c>
      <c r="D45" s="16">
        <v>18419.8</v>
      </c>
      <c r="E45" s="16">
        <v>19070.45</v>
      </c>
      <c r="F45" s="16">
        <v>14940.82</v>
      </c>
      <c r="G45" s="16">
        <v>15315.15</v>
      </c>
    </row>
    <row r="46" spans="1:7" x14ac:dyDescent="0.3">
      <c r="A46" s="34" t="s">
        <v>160</v>
      </c>
      <c r="B46" s="15"/>
      <c r="C46" s="15"/>
      <c r="D46" s="15"/>
      <c r="E46" s="15"/>
      <c r="F46" s="15"/>
      <c r="G46" s="15"/>
    </row>
    <row r="47" spans="1:7" x14ac:dyDescent="0.3">
      <c r="A47" s="36" t="s">
        <v>159</v>
      </c>
      <c r="B47" s="16">
        <v>0</v>
      </c>
      <c r="C47" s="16">
        <v>0</v>
      </c>
      <c r="D47" s="16">
        <v>0</v>
      </c>
      <c r="E47" s="16">
        <v>637.08000000000004</v>
      </c>
      <c r="F47" s="16">
        <v>0</v>
      </c>
      <c r="G47" s="16">
        <v>0</v>
      </c>
    </row>
    <row r="48" spans="1:7" x14ac:dyDescent="0.3">
      <c r="A48" s="35" t="s">
        <v>158</v>
      </c>
      <c r="B48" s="17">
        <f t="shared" ref="B48:G48" si="9">B46+B47</f>
        <v>0</v>
      </c>
      <c r="C48" s="17">
        <f t="shared" si="9"/>
        <v>0</v>
      </c>
      <c r="D48" s="17">
        <f t="shared" si="9"/>
        <v>0</v>
      </c>
      <c r="E48" s="17">
        <f t="shared" si="9"/>
        <v>637.08000000000004</v>
      </c>
      <c r="F48" s="17">
        <f t="shared" si="9"/>
        <v>0</v>
      </c>
      <c r="G48" s="17">
        <f t="shared" si="9"/>
        <v>0</v>
      </c>
    </row>
    <row r="49" spans="1:7" x14ac:dyDescent="0.3">
      <c r="A49" s="34" t="s">
        <v>157</v>
      </c>
      <c r="B49" s="16">
        <v>122</v>
      </c>
      <c r="C49" s="16">
        <v>138</v>
      </c>
      <c r="D49" s="16">
        <v>199</v>
      </c>
      <c r="E49" s="16">
        <v>192</v>
      </c>
      <c r="F49" s="16">
        <v>274</v>
      </c>
      <c r="G49" s="16">
        <v>524</v>
      </c>
    </row>
    <row r="50" spans="1:7" x14ac:dyDescent="0.3">
      <c r="A50" s="33" t="s">
        <v>156</v>
      </c>
      <c r="B50" s="17">
        <f t="shared" ref="B50:G50" si="10">B44+B45+B48+B49</f>
        <v>16492.5</v>
      </c>
      <c r="C50" s="17">
        <f t="shared" si="10"/>
        <v>16649.099999999999</v>
      </c>
      <c r="D50" s="17">
        <f t="shared" si="10"/>
        <v>18618.8</v>
      </c>
      <c r="E50" s="17">
        <f t="shared" si="10"/>
        <v>19899.530000000002</v>
      </c>
      <c r="F50" s="17">
        <f t="shared" si="10"/>
        <v>15214.82</v>
      </c>
      <c r="G50" s="17">
        <f t="shared" si="10"/>
        <v>15839.15</v>
      </c>
    </row>
    <row r="51" spans="1:7" x14ac:dyDescent="0.3">
      <c r="A51" s="12" t="s">
        <v>155</v>
      </c>
      <c r="B51" s="17">
        <f t="shared" ref="B51:G51" si="11">B34+B37+B43+B50</f>
        <v>39934.970000000008</v>
      </c>
      <c r="C51" s="17">
        <f t="shared" si="11"/>
        <v>46120.839999999989</v>
      </c>
      <c r="D51" s="17">
        <f t="shared" si="11"/>
        <v>48747.459999999992</v>
      </c>
      <c r="E51" s="17">
        <f t="shared" si="11"/>
        <v>50282.86</v>
      </c>
      <c r="F51" s="17">
        <f t="shared" si="11"/>
        <v>36755.529999999992</v>
      </c>
      <c r="G51" s="17">
        <f t="shared" si="11"/>
        <v>36968.68</v>
      </c>
    </row>
    <row r="52" spans="1:7" x14ac:dyDescent="0.3">
      <c r="A52" s="9" t="s">
        <v>154</v>
      </c>
      <c r="B52" s="15"/>
      <c r="C52" s="15"/>
      <c r="D52" s="15"/>
      <c r="E52" s="15"/>
      <c r="F52" s="15"/>
      <c r="G52" s="15"/>
    </row>
    <row r="53" spans="1:7" x14ac:dyDescent="0.3">
      <c r="A53" s="11" t="s">
        <v>153</v>
      </c>
      <c r="B53" s="16">
        <v>808546.69</v>
      </c>
      <c r="C53" s="16">
        <v>805971.98</v>
      </c>
      <c r="D53" s="16">
        <v>802944.21</v>
      </c>
      <c r="E53" s="16">
        <v>800258.09</v>
      </c>
      <c r="F53" s="16">
        <v>797571.97</v>
      </c>
      <c r="G53" s="16">
        <v>794935.54999999993</v>
      </c>
    </row>
    <row r="54" spans="1:7" x14ac:dyDescent="0.3">
      <c r="A54" s="11" t="s">
        <v>152</v>
      </c>
      <c r="B54" s="16">
        <v>34000</v>
      </c>
      <c r="C54" s="16">
        <v>34000</v>
      </c>
      <c r="D54" s="16">
        <v>34000</v>
      </c>
      <c r="E54" s="16">
        <v>34000</v>
      </c>
      <c r="F54" s="16">
        <v>34000</v>
      </c>
      <c r="G54" s="16">
        <v>34000</v>
      </c>
    </row>
    <row r="55" spans="1:7" x14ac:dyDescent="0.3">
      <c r="A55" s="12" t="s">
        <v>151</v>
      </c>
      <c r="B55" s="17">
        <f t="shared" ref="B55:G55" si="12">B52+B53+B54</f>
        <v>842546.69</v>
      </c>
      <c r="C55" s="17">
        <f t="shared" si="12"/>
        <v>839971.98</v>
      </c>
      <c r="D55" s="17">
        <f t="shared" si="12"/>
        <v>836944.21</v>
      </c>
      <c r="E55" s="17">
        <f t="shared" si="12"/>
        <v>834258.09</v>
      </c>
      <c r="F55" s="17">
        <f t="shared" si="12"/>
        <v>831571.97</v>
      </c>
      <c r="G55" s="17">
        <f t="shared" si="12"/>
        <v>828935.54999999993</v>
      </c>
    </row>
    <row r="56" spans="1:7" x14ac:dyDescent="0.3">
      <c r="A56" s="10" t="s">
        <v>150</v>
      </c>
      <c r="B56" s="17">
        <f t="shared" ref="B56:G56" si="13">B33+B51+B55</f>
        <v>882481.65999999992</v>
      </c>
      <c r="C56" s="17">
        <f t="shared" si="13"/>
        <v>886092.82</v>
      </c>
      <c r="D56" s="17">
        <f t="shared" si="13"/>
        <v>885691.66999999993</v>
      </c>
      <c r="E56" s="17">
        <f t="shared" si="13"/>
        <v>884540.95</v>
      </c>
      <c r="F56" s="17">
        <f t="shared" si="13"/>
        <v>868327.5</v>
      </c>
      <c r="G56" s="17">
        <f t="shared" si="13"/>
        <v>865904.23</v>
      </c>
    </row>
    <row r="57" spans="1:7" x14ac:dyDescent="0.3">
      <c r="A57" s="7" t="s">
        <v>149</v>
      </c>
      <c r="B57" s="15"/>
      <c r="C57" s="15"/>
      <c r="D57" s="15"/>
      <c r="E57" s="15"/>
      <c r="F57" s="15"/>
      <c r="G57" s="15"/>
    </row>
    <row r="58" spans="1:7" x14ac:dyDescent="0.3">
      <c r="A58" s="9" t="s">
        <v>148</v>
      </c>
      <c r="B58" s="16">
        <v>25000</v>
      </c>
      <c r="C58" s="16">
        <v>25000</v>
      </c>
      <c r="D58" s="16">
        <v>25000</v>
      </c>
      <c r="E58" s="16">
        <v>25000</v>
      </c>
      <c r="F58" s="16">
        <v>25000</v>
      </c>
      <c r="G58" s="16">
        <v>25000</v>
      </c>
    </row>
    <row r="59" spans="1:7" x14ac:dyDescent="0.3">
      <c r="A59" s="9" t="s">
        <v>147</v>
      </c>
      <c r="B59" s="16">
        <v>25000</v>
      </c>
      <c r="C59" s="16">
        <v>25000</v>
      </c>
      <c r="D59" s="16">
        <v>25000</v>
      </c>
      <c r="E59" s="16">
        <v>25000</v>
      </c>
      <c r="F59" s="16">
        <v>25000</v>
      </c>
      <c r="G59" s="16">
        <v>25000</v>
      </c>
    </row>
    <row r="60" spans="1:7" x14ac:dyDescent="0.3">
      <c r="A60" s="9" t="s">
        <v>146</v>
      </c>
      <c r="B60" s="16">
        <v>-7314</v>
      </c>
      <c r="C60" s="16">
        <v>-7314</v>
      </c>
      <c r="D60" s="16">
        <v>-7314</v>
      </c>
      <c r="E60" s="16">
        <v>-7314</v>
      </c>
      <c r="F60" s="16">
        <v>-7314</v>
      </c>
      <c r="G60" s="16">
        <v>-7314</v>
      </c>
    </row>
    <row r="61" spans="1:7" x14ac:dyDescent="0.3">
      <c r="A61" s="9" t="s">
        <v>145</v>
      </c>
      <c r="B61" s="16">
        <v>50000</v>
      </c>
      <c r="C61" s="16">
        <v>50000</v>
      </c>
      <c r="D61" s="16">
        <v>50000</v>
      </c>
      <c r="E61" s="16">
        <v>50000</v>
      </c>
      <c r="F61" s="16">
        <v>50000</v>
      </c>
      <c r="G61" s="16">
        <v>50000</v>
      </c>
    </row>
    <row r="62" spans="1:7" x14ac:dyDescent="0.3">
      <c r="A62" s="9" t="s">
        <v>144</v>
      </c>
      <c r="B62" s="16">
        <v>25000</v>
      </c>
      <c r="C62" s="16">
        <v>25000</v>
      </c>
      <c r="D62" s="16">
        <v>25000</v>
      </c>
      <c r="E62" s="16">
        <v>25000</v>
      </c>
      <c r="F62" s="16">
        <v>25000</v>
      </c>
      <c r="G62" s="16">
        <v>25000</v>
      </c>
    </row>
    <row r="63" spans="1:7" x14ac:dyDescent="0.3">
      <c r="A63" s="9" t="s">
        <v>143</v>
      </c>
      <c r="B63" s="16">
        <v>-7314</v>
      </c>
      <c r="C63" s="16">
        <v>-7314</v>
      </c>
      <c r="D63" s="16">
        <v>-7314</v>
      </c>
      <c r="E63" s="16">
        <v>-7314</v>
      </c>
      <c r="F63" s="16">
        <v>-7314</v>
      </c>
      <c r="G63" s="16">
        <v>-7314</v>
      </c>
    </row>
    <row r="64" spans="1:7" x14ac:dyDescent="0.3">
      <c r="A64" s="9" t="s">
        <v>142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</row>
    <row r="65" spans="1:7" x14ac:dyDescent="0.3">
      <c r="A65" s="9" t="s">
        <v>141</v>
      </c>
      <c r="B65" s="16">
        <v>12500</v>
      </c>
      <c r="C65" s="16">
        <v>12500</v>
      </c>
      <c r="D65" s="16">
        <v>12500</v>
      </c>
      <c r="E65" s="16">
        <v>12500</v>
      </c>
      <c r="F65" s="16">
        <v>12500</v>
      </c>
      <c r="G65" s="16">
        <v>12500</v>
      </c>
    </row>
    <row r="66" spans="1:7" x14ac:dyDescent="0.3">
      <c r="A66" s="9" t="s">
        <v>140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</row>
    <row r="67" spans="1:7" x14ac:dyDescent="0.3">
      <c r="A67" s="9" t="s">
        <v>139</v>
      </c>
      <c r="B67" s="16">
        <v>5877.1199999999953</v>
      </c>
      <c r="C67" s="16">
        <v>5877.1199999999953</v>
      </c>
      <c r="D67" s="16">
        <v>5877.1199999999953</v>
      </c>
      <c r="E67" s="16">
        <v>5877.1199999999953</v>
      </c>
      <c r="F67" s="16">
        <v>5877.1199999999953</v>
      </c>
      <c r="G67" s="16">
        <v>5877.1199999999953</v>
      </c>
    </row>
    <row r="68" spans="1:7" x14ac:dyDescent="0.3">
      <c r="A68" s="9" t="s">
        <v>90</v>
      </c>
      <c r="B68" s="16">
        <v>839.71000000000367</v>
      </c>
      <c r="C68" s="16">
        <v>6387.3199999999824</v>
      </c>
      <c r="D68" s="16">
        <v>16295.07999999998</v>
      </c>
      <c r="E68" s="16">
        <v>22701.069999999963</v>
      </c>
      <c r="F68" s="16">
        <v>43509.049999999974</v>
      </c>
      <c r="G68" s="16">
        <v>53001.569999999963</v>
      </c>
    </row>
    <row r="69" spans="1:7" x14ac:dyDescent="0.3">
      <c r="A69" s="10" t="s">
        <v>138</v>
      </c>
      <c r="B69" s="17">
        <f t="shared" ref="B69:G69" si="14">B57+B58+B59+B60+B61+B62+B63+B64+B65+B66+B67+B68</f>
        <v>129588.83</v>
      </c>
      <c r="C69" s="17">
        <f t="shared" si="14"/>
        <v>135136.43999999997</v>
      </c>
      <c r="D69" s="17">
        <f t="shared" si="14"/>
        <v>145044.19999999998</v>
      </c>
      <c r="E69" s="17">
        <f t="shared" si="14"/>
        <v>151450.18999999994</v>
      </c>
      <c r="F69" s="17">
        <f t="shared" si="14"/>
        <v>172258.16999999998</v>
      </c>
      <c r="G69" s="17">
        <f t="shared" si="14"/>
        <v>181750.68999999994</v>
      </c>
    </row>
    <row r="70" spans="1:7" x14ac:dyDescent="0.3">
      <c r="A70" s="8" t="s">
        <v>137</v>
      </c>
      <c r="B70" s="17">
        <f t="shared" ref="B70:G70" si="15">B32+B56+B69</f>
        <v>1012070.4899999999</v>
      </c>
      <c r="C70" s="17">
        <f t="shared" si="15"/>
        <v>1021229.2599999999</v>
      </c>
      <c r="D70" s="17">
        <f t="shared" si="15"/>
        <v>1030735.8699999999</v>
      </c>
      <c r="E70" s="17">
        <f t="shared" si="15"/>
        <v>1035991.1399999999</v>
      </c>
      <c r="F70" s="17">
        <f t="shared" si="15"/>
        <v>1040585.6699999999</v>
      </c>
      <c r="G70" s="17">
        <f t="shared" si="15"/>
        <v>1047654.9199999999</v>
      </c>
    </row>
    <row r="74" spans="1:7" ht="15.6" customHeight="1" x14ac:dyDescent="0.3">
      <c r="A74" s="1" t="s">
        <v>203</v>
      </c>
      <c r="B74" s="4"/>
      <c r="C74" s="4"/>
      <c r="D74" s="4"/>
      <c r="E74" s="4"/>
      <c r="F74" s="4"/>
      <c r="G74" s="4"/>
    </row>
  </sheetData>
  <mergeCells count="4">
    <mergeCell ref="A1:G1"/>
    <mergeCell ref="A2:G2"/>
    <mergeCell ref="A3:G3"/>
    <mergeCell ref="A74:G7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J97"/>
  <sheetViews>
    <sheetView tabSelected="1" topLeftCell="B10" workbookViewId="0">
      <selection activeCell="G93" sqref="G93"/>
    </sheetView>
  </sheetViews>
  <sheetFormatPr defaultColWidth="11.296875" defaultRowHeight="15.6" x14ac:dyDescent="0.3"/>
  <cols>
    <col min="1" max="1" width="32.3984375" style="13" customWidth="1"/>
    <col min="2" max="2" width="16.09765625" style="13" customWidth="1"/>
    <col min="3" max="3" width="15.19921875" style="13" customWidth="1"/>
    <col min="4" max="7" width="16.09765625" style="13" customWidth="1"/>
    <col min="8" max="8" width="17" style="13" customWidth="1"/>
    <col min="10" max="10" width="29.8984375" customWidth="1"/>
  </cols>
  <sheetData>
    <row r="1" spans="1:8" x14ac:dyDescent="0.3">
      <c r="A1" s="5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3" t="s">
        <v>1</v>
      </c>
      <c r="B2" s="4"/>
      <c r="C2" s="4"/>
      <c r="D2" s="4"/>
      <c r="E2" s="4"/>
      <c r="F2" s="4"/>
      <c r="G2" s="4"/>
      <c r="H2" s="4"/>
    </row>
    <row r="3" spans="1:8" x14ac:dyDescent="0.3">
      <c r="A3" s="2" t="s">
        <v>2</v>
      </c>
      <c r="B3" s="4"/>
      <c r="C3" s="4"/>
      <c r="D3" s="4"/>
      <c r="E3" s="4"/>
      <c r="F3" s="4"/>
      <c r="G3" s="4"/>
      <c r="H3" s="4"/>
    </row>
    <row r="5" spans="1:8" x14ac:dyDescent="0.3">
      <c r="A5" s="14" t="s">
        <v>91</v>
      </c>
      <c r="B5" s="14" t="s">
        <v>92</v>
      </c>
      <c r="C5" s="14" t="s">
        <v>93</v>
      </c>
      <c r="D5" s="14" t="s">
        <v>94</v>
      </c>
      <c r="E5" s="14" t="s">
        <v>95</v>
      </c>
      <c r="F5" s="14" t="s">
        <v>96</v>
      </c>
      <c r="G5" s="14" t="s">
        <v>97</v>
      </c>
      <c r="H5" s="14" t="s">
        <v>98</v>
      </c>
    </row>
    <row r="6" spans="1:8" x14ac:dyDescent="0.3">
      <c r="A6" s="6" t="s">
        <v>3</v>
      </c>
      <c r="B6" s="15"/>
      <c r="C6" s="15"/>
      <c r="D6" s="15"/>
      <c r="E6" s="15"/>
      <c r="F6" s="15"/>
      <c r="G6" s="15"/>
    </row>
    <row r="7" spans="1:8" x14ac:dyDescent="0.3">
      <c r="A7" s="7" t="s">
        <v>4</v>
      </c>
      <c r="B7" s="16">
        <v>233.14</v>
      </c>
      <c r="C7" s="16">
        <v>1019.2</v>
      </c>
      <c r="D7" s="16">
        <v>727.51</v>
      </c>
      <c r="E7" s="16">
        <v>734.01</v>
      </c>
      <c r="F7" s="16">
        <v>1157.77</v>
      </c>
      <c r="G7" s="16">
        <v>817.67</v>
      </c>
      <c r="H7" s="16">
        <f t="shared" ref="H7:H19" si="0">B7+C7+D7+E7+F7+G7</f>
        <v>4689.3</v>
      </c>
    </row>
    <row r="8" spans="1:8" x14ac:dyDescent="0.3">
      <c r="A8" s="7" t="s">
        <v>5</v>
      </c>
      <c r="B8" s="16">
        <v>1063</v>
      </c>
      <c r="C8" s="16">
        <v>1216.5</v>
      </c>
      <c r="D8" s="16">
        <v>1989.24</v>
      </c>
      <c r="E8" s="16">
        <v>1868.92</v>
      </c>
      <c r="F8" s="16">
        <v>3042.27</v>
      </c>
      <c r="G8" s="16">
        <v>2034.5</v>
      </c>
      <c r="H8" s="16">
        <f t="shared" si="0"/>
        <v>11214.43</v>
      </c>
    </row>
    <row r="9" spans="1:8" x14ac:dyDescent="0.3">
      <c r="A9" s="7" t="s">
        <v>6</v>
      </c>
      <c r="B9" s="16">
        <v>2025</v>
      </c>
      <c r="C9" s="16">
        <v>675</v>
      </c>
      <c r="D9" s="16">
        <v>2455</v>
      </c>
      <c r="E9" s="16">
        <v>450</v>
      </c>
      <c r="F9" s="16">
        <v>2175</v>
      </c>
      <c r="G9" s="16">
        <v>900</v>
      </c>
      <c r="H9" s="16">
        <f t="shared" si="0"/>
        <v>8680</v>
      </c>
    </row>
    <row r="10" spans="1:8" x14ac:dyDescent="0.3">
      <c r="A10" s="7" t="s">
        <v>7</v>
      </c>
      <c r="B10" s="15"/>
      <c r="C10" s="15"/>
      <c r="D10" s="15"/>
      <c r="E10" s="16">
        <v>291.95</v>
      </c>
      <c r="F10" s="16">
        <v>583.9</v>
      </c>
      <c r="G10" s="16">
        <v>291.95</v>
      </c>
      <c r="H10" s="16">
        <f t="shared" si="0"/>
        <v>1167.8</v>
      </c>
    </row>
    <row r="11" spans="1:8" x14ac:dyDescent="0.3">
      <c r="A11" s="7" t="s">
        <v>8</v>
      </c>
      <c r="B11" s="16">
        <v>38637.19</v>
      </c>
      <c r="C11" s="16">
        <v>39019.839999999997</v>
      </c>
      <c r="D11" s="16">
        <v>42431.31</v>
      </c>
      <c r="E11" s="16">
        <v>43172.76</v>
      </c>
      <c r="F11" s="16">
        <v>41422.67</v>
      </c>
      <c r="G11" s="16">
        <v>43018.27</v>
      </c>
      <c r="H11" s="16">
        <f t="shared" si="0"/>
        <v>247702.04</v>
      </c>
    </row>
    <row r="12" spans="1:8" x14ac:dyDescent="0.3">
      <c r="A12" s="7" t="s">
        <v>9</v>
      </c>
      <c r="B12" s="16">
        <v>2376</v>
      </c>
      <c r="C12" s="16">
        <v>5376</v>
      </c>
      <c r="D12" s="16">
        <v>5376</v>
      </c>
      <c r="E12" s="15"/>
      <c r="F12" s="16">
        <v>7128</v>
      </c>
      <c r="G12" s="16">
        <v>3000</v>
      </c>
      <c r="H12" s="16">
        <f t="shared" si="0"/>
        <v>23256</v>
      </c>
    </row>
    <row r="13" spans="1:8" x14ac:dyDescent="0.3">
      <c r="A13" s="7" t="s">
        <v>10</v>
      </c>
      <c r="B13" s="16">
        <v>396</v>
      </c>
      <c r="C13" s="16">
        <v>564.66999999999996</v>
      </c>
      <c r="D13" s="16">
        <v>564.66999999999996</v>
      </c>
      <c r="E13" s="16">
        <v>564.66999999999996</v>
      </c>
      <c r="F13" s="15"/>
      <c r="G13" s="16">
        <v>760</v>
      </c>
      <c r="H13" s="16">
        <f t="shared" si="0"/>
        <v>2850.0099999999998</v>
      </c>
    </row>
    <row r="14" spans="1:8" x14ac:dyDescent="0.3">
      <c r="A14" s="7" t="s">
        <v>11</v>
      </c>
      <c r="B14" s="16">
        <v>-346.28</v>
      </c>
      <c r="C14" s="16">
        <v>-1030.55</v>
      </c>
      <c r="D14" s="16">
        <v>-1063.52</v>
      </c>
      <c r="E14" s="16">
        <v>-896.6</v>
      </c>
      <c r="F14" s="16">
        <v>-537.57000000000005</v>
      </c>
      <c r="G14" s="16">
        <v>-1358.18</v>
      </c>
      <c r="H14" s="16">
        <f t="shared" si="0"/>
        <v>-5232.7</v>
      </c>
    </row>
    <row r="15" spans="1:8" x14ac:dyDescent="0.3">
      <c r="A15" s="7" t="s">
        <v>12</v>
      </c>
      <c r="B15" s="16">
        <v>750</v>
      </c>
      <c r="C15" s="16">
        <v>1750</v>
      </c>
      <c r="D15" s="15"/>
      <c r="E15" s="15"/>
      <c r="F15" s="16">
        <v>3580</v>
      </c>
      <c r="G15" s="15"/>
      <c r="H15" s="16">
        <f t="shared" si="0"/>
        <v>6080</v>
      </c>
    </row>
    <row r="16" spans="1:8" x14ac:dyDescent="0.3">
      <c r="A16" s="7" t="s">
        <v>13</v>
      </c>
      <c r="B16" s="16">
        <v>8927.2999999999993</v>
      </c>
      <c r="C16" s="16">
        <v>13261.88</v>
      </c>
      <c r="D16" s="16">
        <v>16933.5</v>
      </c>
      <c r="E16" s="16">
        <v>16141.63</v>
      </c>
      <c r="F16" s="16">
        <v>16159.95</v>
      </c>
      <c r="G16" s="16">
        <v>16522.22</v>
      </c>
      <c r="H16" s="16">
        <f t="shared" si="0"/>
        <v>87946.48</v>
      </c>
    </row>
    <row r="17" spans="1:10" x14ac:dyDescent="0.3">
      <c r="A17" s="7" t="s">
        <v>14</v>
      </c>
      <c r="B17" s="16">
        <v>1127.3800000000001</v>
      </c>
      <c r="C17" s="16">
        <v>1062.51</v>
      </c>
      <c r="D17" s="16">
        <v>1497.18</v>
      </c>
      <c r="E17" s="16">
        <v>1403.08</v>
      </c>
      <c r="F17" s="16">
        <v>1790.35</v>
      </c>
      <c r="G17" s="16">
        <v>1797.04</v>
      </c>
      <c r="H17" s="16">
        <f t="shared" si="0"/>
        <v>8677.5400000000009</v>
      </c>
    </row>
    <row r="18" spans="1:10" x14ac:dyDescent="0.3">
      <c r="A18" s="8" t="s">
        <v>15</v>
      </c>
      <c r="B18" s="17">
        <f t="shared" ref="B18:G18" si="1">B6+B7+B8+B9+B10+B11+B12+B13+B14+B15+B16+B17</f>
        <v>55188.73</v>
      </c>
      <c r="C18" s="17">
        <f t="shared" si="1"/>
        <v>62915.049999999988</v>
      </c>
      <c r="D18" s="17">
        <f t="shared" si="1"/>
        <v>70910.889999999985</v>
      </c>
      <c r="E18" s="17">
        <f t="shared" si="1"/>
        <v>63730.42</v>
      </c>
      <c r="F18" s="17">
        <f t="shared" si="1"/>
        <v>76502.340000000011</v>
      </c>
      <c r="G18" s="17">
        <f t="shared" si="1"/>
        <v>67783.469999999987</v>
      </c>
      <c r="H18" s="18">
        <f t="shared" si="0"/>
        <v>397030.89999999997</v>
      </c>
    </row>
    <row r="19" spans="1:10" x14ac:dyDescent="0.3">
      <c r="A19" s="8" t="s">
        <v>16</v>
      </c>
      <c r="B19" s="17">
        <f t="shared" ref="B19:G19" si="2">B18-0</f>
        <v>55188.73</v>
      </c>
      <c r="C19" s="17">
        <f t="shared" si="2"/>
        <v>62915.049999999988</v>
      </c>
      <c r="D19" s="17">
        <f t="shared" si="2"/>
        <v>70910.889999999985</v>
      </c>
      <c r="E19" s="17">
        <f t="shared" si="2"/>
        <v>63730.42</v>
      </c>
      <c r="F19" s="17">
        <f t="shared" si="2"/>
        <v>76502.340000000011</v>
      </c>
      <c r="G19" s="17">
        <f t="shared" si="2"/>
        <v>67783.469999999987</v>
      </c>
      <c r="H19" s="18">
        <f t="shared" si="0"/>
        <v>397030.89999999997</v>
      </c>
    </row>
    <row r="20" spans="1:10" x14ac:dyDescent="0.3">
      <c r="A20" s="6" t="s">
        <v>17</v>
      </c>
      <c r="B20" s="15"/>
      <c r="C20" s="15"/>
      <c r="D20" s="15"/>
      <c r="E20" s="15"/>
      <c r="F20" s="15"/>
      <c r="G20" s="15"/>
    </row>
    <row r="21" spans="1:10" x14ac:dyDescent="0.3">
      <c r="A21" s="7" t="s">
        <v>18</v>
      </c>
      <c r="B21" s="16">
        <v>1670.61</v>
      </c>
      <c r="C21" s="16">
        <v>1660.14</v>
      </c>
      <c r="D21" s="16">
        <v>1670.5</v>
      </c>
      <c r="E21" s="16">
        <v>1713.66</v>
      </c>
      <c r="F21" s="16">
        <v>1651.13</v>
      </c>
      <c r="G21" s="16">
        <v>1670.75</v>
      </c>
      <c r="H21" s="16">
        <f>B21+C21+D21+E21+F21+G21</f>
        <v>10036.790000000001</v>
      </c>
    </row>
    <row r="22" spans="1:10" x14ac:dyDescent="0.3">
      <c r="A22" s="9" t="s">
        <v>19</v>
      </c>
      <c r="B22" s="16">
        <v>420</v>
      </c>
      <c r="C22" s="16">
        <v>540</v>
      </c>
      <c r="D22" s="16">
        <v>1060</v>
      </c>
      <c r="E22" s="16">
        <v>420</v>
      </c>
      <c r="F22" s="16">
        <v>320</v>
      </c>
      <c r="G22" s="16">
        <v>275</v>
      </c>
      <c r="H22" s="16">
        <f>B22+C22+D22+E22+F22+G22</f>
        <v>3035</v>
      </c>
    </row>
    <row r="23" spans="1:10" x14ac:dyDescent="0.3">
      <c r="A23" s="9" t="s">
        <v>20</v>
      </c>
      <c r="B23" s="16">
        <v>250</v>
      </c>
      <c r="C23" s="16">
        <v>900</v>
      </c>
      <c r="D23" s="16">
        <v>1350</v>
      </c>
      <c r="E23" s="16">
        <v>500</v>
      </c>
      <c r="F23" s="15"/>
      <c r="G23" s="16">
        <v>1150</v>
      </c>
      <c r="H23" s="16">
        <f>B23+C23+D23+E23+F23+G23</f>
        <v>4150</v>
      </c>
      <c r="J23" t="s">
        <v>136</v>
      </c>
    </row>
    <row r="24" spans="1:10" x14ac:dyDescent="0.3">
      <c r="A24" s="9" t="s">
        <v>21</v>
      </c>
      <c r="B24" s="16">
        <v>1605.68</v>
      </c>
      <c r="C24" s="16">
        <v>1177.77</v>
      </c>
      <c r="D24" s="16">
        <v>1929.13</v>
      </c>
      <c r="E24" s="16">
        <v>1490.3</v>
      </c>
      <c r="F24" s="16">
        <v>1500.88</v>
      </c>
      <c r="G24" s="16">
        <v>1553.49</v>
      </c>
      <c r="H24" s="16">
        <f>B24+C24+D24+E24+F24+G24</f>
        <v>9257.25</v>
      </c>
    </row>
    <row r="25" spans="1:10" x14ac:dyDescent="0.3">
      <c r="A25" s="10" t="s">
        <v>22</v>
      </c>
      <c r="B25" s="17">
        <f t="shared" ref="B25:G25" si="3">B21+B22+B23+B24</f>
        <v>3946.29</v>
      </c>
      <c r="C25" s="17">
        <f t="shared" si="3"/>
        <v>4277.91</v>
      </c>
      <c r="D25" s="17">
        <f t="shared" si="3"/>
        <v>6009.63</v>
      </c>
      <c r="E25" s="17">
        <f t="shared" si="3"/>
        <v>4123.96</v>
      </c>
      <c r="F25" s="17">
        <f t="shared" si="3"/>
        <v>3472.01</v>
      </c>
      <c r="G25" s="17">
        <f t="shared" si="3"/>
        <v>4649.24</v>
      </c>
      <c r="H25" s="18">
        <f>B25+C25+D25+E25+F25+G25</f>
        <v>26479.040000000001</v>
      </c>
    </row>
    <row r="26" spans="1:10" x14ac:dyDescent="0.3">
      <c r="A26" s="7" t="s">
        <v>23</v>
      </c>
      <c r="B26" s="15"/>
      <c r="C26" s="15"/>
      <c r="D26" s="15"/>
      <c r="E26" s="15"/>
      <c r="F26" s="15"/>
      <c r="G26" s="15"/>
      <c r="H26" s="15"/>
    </row>
    <row r="27" spans="1:10" x14ac:dyDescent="0.3">
      <c r="A27" s="9" t="s">
        <v>24</v>
      </c>
      <c r="B27" s="15"/>
      <c r="C27" s="16">
        <v>49.43</v>
      </c>
      <c r="D27" s="15"/>
      <c r="E27" s="16">
        <v>522.20000000000005</v>
      </c>
      <c r="F27" s="15"/>
      <c r="G27" s="15"/>
      <c r="H27" s="16">
        <f>B27+C27+D27+E27+F27+G27</f>
        <v>571.63</v>
      </c>
    </row>
    <row r="28" spans="1:10" x14ac:dyDescent="0.3">
      <c r="A28" s="9" t="s">
        <v>25</v>
      </c>
      <c r="B28" s="15"/>
      <c r="C28" s="15"/>
      <c r="D28" s="15"/>
      <c r="E28" s="15"/>
      <c r="F28" s="16">
        <v>694</v>
      </c>
      <c r="G28" s="15"/>
      <c r="H28" s="16">
        <f>B28+C28+D28+E28+F28+G28</f>
        <v>694</v>
      </c>
    </row>
    <row r="29" spans="1:10" x14ac:dyDescent="0.3">
      <c r="A29" s="9" t="s">
        <v>26</v>
      </c>
      <c r="B29" s="16">
        <v>982.21</v>
      </c>
      <c r="C29" s="16">
        <v>825.23</v>
      </c>
      <c r="D29" s="16">
        <v>6795</v>
      </c>
      <c r="E29" s="16">
        <v>240</v>
      </c>
      <c r="F29" s="15"/>
      <c r="G29" s="16">
        <v>1088.99</v>
      </c>
      <c r="H29" s="16">
        <f>B29+C29+D29+E29+F29+G29</f>
        <v>9931.43</v>
      </c>
    </row>
    <row r="30" spans="1:10" x14ac:dyDescent="0.3">
      <c r="A30" s="9" t="s">
        <v>27</v>
      </c>
      <c r="B30" s="15"/>
      <c r="C30" s="15"/>
      <c r="D30" s="15"/>
      <c r="E30" s="15"/>
      <c r="F30" s="16">
        <v>200.82</v>
      </c>
      <c r="G30" s="15"/>
      <c r="H30" s="16">
        <f>B30+C30+D30+E30+F30+G30</f>
        <v>200.82</v>
      </c>
    </row>
    <row r="31" spans="1:10" x14ac:dyDescent="0.3">
      <c r="A31" s="10" t="s">
        <v>28</v>
      </c>
      <c r="B31" s="17">
        <f t="shared" ref="B31:G31" si="4">B26+B27+B28+B29+B30</f>
        <v>982.21</v>
      </c>
      <c r="C31" s="17">
        <f t="shared" si="4"/>
        <v>874.66</v>
      </c>
      <c r="D31" s="17">
        <f t="shared" si="4"/>
        <v>6795</v>
      </c>
      <c r="E31" s="17">
        <f t="shared" si="4"/>
        <v>762.2</v>
      </c>
      <c r="F31" s="17">
        <f t="shared" si="4"/>
        <v>894.81999999999994</v>
      </c>
      <c r="G31" s="17">
        <f t="shared" si="4"/>
        <v>1088.99</v>
      </c>
      <c r="H31" s="18">
        <f>B31+C31+D31+E31+F31+G31</f>
        <v>11397.88</v>
      </c>
    </row>
    <row r="32" spans="1:10" x14ac:dyDescent="0.3">
      <c r="A32" s="7" t="s">
        <v>29</v>
      </c>
      <c r="B32" s="15"/>
      <c r="C32" s="15"/>
      <c r="D32" s="15"/>
      <c r="E32" s="15"/>
      <c r="F32" s="15"/>
      <c r="G32" s="15"/>
      <c r="H32" s="15"/>
    </row>
    <row r="33" spans="1:8" x14ac:dyDescent="0.3">
      <c r="A33" s="9" t="s">
        <v>30</v>
      </c>
      <c r="B33" s="16">
        <v>825</v>
      </c>
      <c r="C33" s="16">
        <v>825</v>
      </c>
      <c r="D33" s="16">
        <v>825</v>
      </c>
      <c r="E33" s="16">
        <v>1827.11</v>
      </c>
      <c r="F33" s="16">
        <v>825</v>
      </c>
      <c r="G33" s="16">
        <v>825</v>
      </c>
      <c r="H33" s="16">
        <f>B33+C33+D33+E33+F33+G33</f>
        <v>5952.11</v>
      </c>
    </row>
    <row r="34" spans="1:8" x14ac:dyDescent="0.3">
      <c r="A34" s="9" t="s">
        <v>31</v>
      </c>
      <c r="B34" s="15"/>
      <c r="C34" s="15"/>
      <c r="D34" s="15"/>
      <c r="E34" s="15"/>
      <c r="F34" s="15"/>
      <c r="G34" s="15"/>
      <c r="H34" s="15"/>
    </row>
    <row r="35" spans="1:8" x14ac:dyDescent="0.3">
      <c r="A35" s="11" t="s">
        <v>32</v>
      </c>
      <c r="B35" s="16">
        <v>76.819999999999993</v>
      </c>
      <c r="C35" s="16">
        <v>73.73</v>
      </c>
      <c r="D35" s="16">
        <v>127.13</v>
      </c>
      <c r="E35" s="16">
        <v>122.92</v>
      </c>
      <c r="F35" s="16">
        <v>156.69999999999999</v>
      </c>
      <c r="G35" s="16">
        <v>156.65</v>
      </c>
      <c r="H35" s="16">
        <f t="shared" ref="H35:H54" si="5">B35+C35+D35+E35+F35+G35</f>
        <v>713.94999999999993</v>
      </c>
    </row>
    <row r="36" spans="1:8" x14ac:dyDescent="0.3">
      <c r="A36" s="11" t="s">
        <v>33</v>
      </c>
      <c r="B36" s="16">
        <v>15.1</v>
      </c>
      <c r="C36" s="16">
        <v>40.22</v>
      </c>
      <c r="D36" s="16">
        <v>26.2</v>
      </c>
      <c r="E36" s="16">
        <v>16.3</v>
      </c>
      <c r="F36" s="16">
        <v>8.75</v>
      </c>
      <c r="G36" s="16">
        <v>22.43</v>
      </c>
      <c r="H36" s="16">
        <f t="shared" si="5"/>
        <v>129</v>
      </c>
    </row>
    <row r="37" spans="1:8" x14ac:dyDescent="0.3">
      <c r="A37" s="12" t="s">
        <v>34</v>
      </c>
      <c r="B37" s="17">
        <f t="shared" ref="B37:G37" si="6">B34+B35+B36</f>
        <v>91.919999999999987</v>
      </c>
      <c r="C37" s="17">
        <f t="shared" si="6"/>
        <v>113.95</v>
      </c>
      <c r="D37" s="17">
        <f t="shared" si="6"/>
        <v>153.32999999999998</v>
      </c>
      <c r="E37" s="17">
        <f t="shared" si="6"/>
        <v>139.22</v>
      </c>
      <c r="F37" s="17">
        <f t="shared" si="6"/>
        <v>165.45</v>
      </c>
      <c r="G37" s="17">
        <f t="shared" si="6"/>
        <v>179.08</v>
      </c>
      <c r="H37" s="18">
        <f t="shared" si="5"/>
        <v>842.94999999999993</v>
      </c>
    </row>
    <row r="38" spans="1:8" x14ac:dyDescent="0.3">
      <c r="A38" s="9" t="s">
        <v>35</v>
      </c>
      <c r="B38" s="15"/>
      <c r="C38" s="15"/>
      <c r="D38" s="16">
        <v>307.05</v>
      </c>
      <c r="E38" s="15"/>
      <c r="F38" s="15"/>
      <c r="G38" s="15"/>
      <c r="H38" s="16">
        <f t="shared" si="5"/>
        <v>307.05</v>
      </c>
    </row>
    <row r="39" spans="1:8" x14ac:dyDescent="0.3">
      <c r="A39" s="9" t="s">
        <v>36</v>
      </c>
      <c r="B39" s="16">
        <v>966.41</v>
      </c>
      <c r="C39" s="16">
        <v>966.41</v>
      </c>
      <c r="D39" s="15"/>
      <c r="E39" s="15"/>
      <c r="F39" s="15"/>
      <c r="G39" s="15"/>
      <c r="H39" s="16">
        <f t="shared" si="5"/>
        <v>1932.82</v>
      </c>
    </row>
    <row r="40" spans="1:8" x14ac:dyDescent="0.3">
      <c r="A40" s="9" t="s">
        <v>37</v>
      </c>
      <c r="B40" s="16">
        <v>1180.5999999999999</v>
      </c>
      <c r="C40" s="15"/>
      <c r="D40" s="16">
        <v>219.5</v>
      </c>
      <c r="E40" s="15"/>
      <c r="F40" s="15"/>
      <c r="G40" s="16">
        <v>100</v>
      </c>
      <c r="H40" s="16">
        <f t="shared" si="5"/>
        <v>1500.1</v>
      </c>
    </row>
    <row r="41" spans="1:8" x14ac:dyDescent="0.3">
      <c r="A41" s="9" t="s">
        <v>38</v>
      </c>
      <c r="B41" s="16">
        <v>863.14</v>
      </c>
      <c r="C41" s="16">
        <v>863.14</v>
      </c>
      <c r="D41" s="16">
        <v>863.14</v>
      </c>
      <c r="E41" s="16">
        <v>863.14</v>
      </c>
      <c r="F41" s="16">
        <v>863.14</v>
      </c>
      <c r="G41" s="16">
        <v>863.14</v>
      </c>
      <c r="H41" s="16">
        <f t="shared" si="5"/>
        <v>5178.84</v>
      </c>
    </row>
    <row r="42" spans="1:8" x14ac:dyDescent="0.3">
      <c r="A42" s="9" t="s">
        <v>39</v>
      </c>
      <c r="B42" s="15"/>
      <c r="C42" s="15"/>
      <c r="D42" s="16">
        <v>14</v>
      </c>
      <c r="E42" s="15"/>
      <c r="F42" s="15"/>
      <c r="G42" s="15"/>
      <c r="H42" s="16">
        <f t="shared" si="5"/>
        <v>14</v>
      </c>
    </row>
    <row r="43" spans="1:8" x14ac:dyDescent="0.3">
      <c r="A43" s="11" t="s">
        <v>40</v>
      </c>
      <c r="B43" s="15"/>
      <c r="C43" s="16">
        <v>4482.62</v>
      </c>
      <c r="D43" s="15"/>
      <c r="E43" s="16">
        <v>151.41</v>
      </c>
      <c r="F43" s="16">
        <v>594.65</v>
      </c>
      <c r="G43" s="16">
        <v>115</v>
      </c>
      <c r="H43" s="16">
        <f t="shared" si="5"/>
        <v>5343.6799999999994</v>
      </c>
    </row>
    <row r="44" spans="1:8" x14ac:dyDescent="0.3">
      <c r="A44" s="12" t="s">
        <v>41</v>
      </c>
      <c r="B44" s="18">
        <f t="shared" ref="B44:G44" si="7">B42+B43</f>
        <v>0</v>
      </c>
      <c r="C44" s="17">
        <f t="shared" si="7"/>
        <v>4482.62</v>
      </c>
      <c r="D44" s="17">
        <f t="shared" si="7"/>
        <v>14</v>
      </c>
      <c r="E44" s="17">
        <f t="shared" si="7"/>
        <v>151.41</v>
      </c>
      <c r="F44" s="17">
        <f t="shared" si="7"/>
        <v>594.65</v>
      </c>
      <c r="G44" s="17">
        <f t="shared" si="7"/>
        <v>115</v>
      </c>
      <c r="H44" s="18">
        <f t="shared" si="5"/>
        <v>5357.6799999999994</v>
      </c>
    </row>
    <row r="45" spans="1:8" x14ac:dyDescent="0.3">
      <c r="A45" s="9" t="s">
        <v>42</v>
      </c>
      <c r="B45" s="16">
        <v>1271.3599999999999</v>
      </c>
      <c r="C45" s="16">
        <v>1287.76</v>
      </c>
      <c r="D45" s="16">
        <v>1761.06</v>
      </c>
      <c r="E45" s="16">
        <v>1254.6199999999999</v>
      </c>
      <c r="F45" s="16">
        <v>1298.45</v>
      </c>
      <c r="G45" s="16">
        <v>1454.16</v>
      </c>
      <c r="H45" s="16">
        <f t="shared" si="5"/>
        <v>8327.41</v>
      </c>
    </row>
    <row r="46" spans="1:8" x14ac:dyDescent="0.3">
      <c r="A46" s="9" t="s">
        <v>43</v>
      </c>
      <c r="B46" s="16">
        <v>150</v>
      </c>
      <c r="C46" s="16">
        <v>150</v>
      </c>
      <c r="D46" s="16">
        <v>479.25</v>
      </c>
      <c r="E46" s="16">
        <v>150</v>
      </c>
      <c r="F46" s="16">
        <v>150</v>
      </c>
      <c r="G46" s="16">
        <v>150</v>
      </c>
      <c r="H46" s="16">
        <f t="shared" si="5"/>
        <v>1229.25</v>
      </c>
    </row>
    <row r="47" spans="1:8" x14ac:dyDescent="0.3">
      <c r="A47" s="11" t="s">
        <v>44</v>
      </c>
      <c r="B47" s="16">
        <v>114.99</v>
      </c>
      <c r="C47" s="15"/>
      <c r="D47" s="15"/>
      <c r="E47" s="15"/>
      <c r="F47" s="15"/>
      <c r="G47" s="15"/>
      <c r="H47" s="16">
        <f t="shared" si="5"/>
        <v>114.99</v>
      </c>
    </row>
    <row r="48" spans="1:8" x14ac:dyDescent="0.3">
      <c r="A48" s="11" t="s">
        <v>45</v>
      </c>
      <c r="B48" s="16">
        <v>436.59</v>
      </c>
      <c r="C48" s="16">
        <v>72.39</v>
      </c>
      <c r="D48" s="16">
        <v>522.25</v>
      </c>
      <c r="E48" s="16">
        <v>94.34</v>
      </c>
      <c r="F48" s="16">
        <v>55.93</v>
      </c>
      <c r="G48" s="16">
        <v>72.39</v>
      </c>
      <c r="H48" s="16">
        <f t="shared" si="5"/>
        <v>1253.8900000000001</v>
      </c>
    </row>
    <row r="49" spans="1:8" x14ac:dyDescent="0.3">
      <c r="A49" s="12" t="s">
        <v>46</v>
      </c>
      <c r="B49" s="17">
        <f t="shared" ref="B49:G49" si="8">B46+B47+B48</f>
        <v>701.57999999999993</v>
      </c>
      <c r="C49" s="17">
        <f t="shared" si="8"/>
        <v>222.39</v>
      </c>
      <c r="D49" s="17">
        <f t="shared" si="8"/>
        <v>1001.5</v>
      </c>
      <c r="E49" s="17">
        <f t="shared" si="8"/>
        <v>244.34</v>
      </c>
      <c r="F49" s="17">
        <f t="shared" si="8"/>
        <v>205.93</v>
      </c>
      <c r="G49" s="17">
        <f t="shared" si="8"/>
        <v>222.39</v>
      </c>
      <c r="H49" s="18">
        <f t="shared" si="5"/>
        <v>2598.1299999999997</v>
      </c>
    </row>
    <row r="50" spans="1:8" x14ac:dyDescent="0.3">
      <c r="A50" s="9" t="s">
        <v>47</v>
      </c>
      <c r="B50" s="16">
        <v>13333</v>
      </c>
      <c r="C50" s="16">
        <v>13333</v>
      </c>
      <c r="D50" s="16">
        <v>13333</v>
      </c>
      <c r="E50" s="16">
        <v>13333</v>
      </c>
      <c r="F50" s="16">
        <v>13333</v>
      </c>
      <c r="G50" s="16">
        <v>13333</v>
      </c>
      <c r="H50" s="16">
        <f t="shared" si="5"/>
        <v>79998</v>
      </c>
    </row>
    <row r="51" spans="1:8" x14ac:dyDescent="0.3">
      <c r="A51" s="11" t="s">
        <v>48</v>
      </c>
      <c r="B51" s="16">
        <v>155.79</v>
      </c>
      <c r="C51" s="16">
        <v>155.79</v>
      </c>
      <c r="D51" s="16">
        <v>155.79</v>
      </c>
      <c r="E51" s="16">
        <v>155.79</v>
      </c>
      <c r="F51" s="16">
        <v>155.79</v>
      </c>
      <c r="G51" s="16">
        <v>155.79</v>
      </c>
      <c r="H51" s="16">
        <f t="shared" si="5"/>
        <v>934.7399999999999</v>
      </c>
    </row>
    <row r="52" spans="1:8" x14ac:dyDescent="0.3">
      <c r="A52" s="12" t="s">
        <v>49</v>
      </c>
      <c r="B52" s="17">
        <f t="shared" ref="B52:G52" si="9">B50+B51</f>
        <v>13488.79</v>
      </c>
      <c r="C52" s="17">
        <f t="shared" si="9"/>
        <v>13488.79</v>
      </c>
      <c r="D52" s="17">
        <f t="shared" si="9"/>
        <v>13488.79</v>
      </c>
      <c r="E52" s="17">
        <f t="shared" si="9"/>
        <v>13488.79</v>
      </c>
      <c r="F52" s="17">
        <f t="shared" si="9"/>
        <v>13488.79</v>
      </c>
      <c r="G52" s="17">
        <f t="shared" si="9"/>
        <v>13488.79</v>
      </c>
      <c r="H52" s="18">
        <f t="shared" si="5"/>
        <v>80932.74000000002</v>
      </c>
    </row>
    <row r="53" spans="1:8" x14ac:dyDescent="0.3">
      <c r="A53" s="9" t="s">
        <v>50</v>
      </c>
      <c r="B53" s="16">
        <v>1108.29</v>
      </c>
      <c r="C53" s="15"/>
      <c r="D53" s="16">
        <v>300</v>
      </c>
      <c r="E53" s="16">
        <v>2449.66</v>
      </c>
      <c r="F53" s="16">
        <v>575</v>
      </c>
      <c r="G53" s="15"/>
      <c r="H53" s="16">
        <f t="shared" si="5"/>
        <v>4432.95</v>
      </c>
    </row>
    <row r="54" spans="1:8" x14ac:dyDescent="0.3">
      <c r="A54" s="9" t="s">
        <v>51</v>
      </c>
      <c r="B54" s="15"/>
      <c r="C54" s="15"/>
      <c r="D54" s="15"/>
      <c r="E54" s="16">
        <v>322</v>
      </c>
      <c r="F54" s="15"/>
      <c r="G54" s="15"/>
      <c r="H54" s="16">
        <f t="shared" si="5"/>
        <v>322</v>
      </c>
    </row>
    <row r="55" spans="1:8" x14ac:dyDescent="0.3">
      <c r="A55" s="9" t="s">
        <v>52</v>
      </c>
      <c r="B55" s="15"/>
      <c r="C55" s="15"/>
      <c r="D55" s="15"/>
      <c r="E55" s="15"/>
      <c r="F55" s="15"/>
      <c r="G55" s="15"/>
      <c r="H55" s="15"/>
    </row>
    <row r="56" spans="1:8" x14ac:dyDescent="0.3">
      <c r="A56" s="11" t="s">
        <v>53</v>
      </c>
      <c r="B56" s="16">
        <v>297.88</v>
      </c>
      <c r="C56" s="16">
        <v>297.88</v>
      </c>
      <c r="D56" s="16">
        <v>297.52</v>
      </c>
      <c r="E56" s="16">
        <v>297.5</v>
      </c>
      <c r="F56" s="16">
        <v>297.5</v>
      </c>
      <c r="G56" s="16">
        <v>297.5</v>
      </c>
      <c r="H56" s="16">
        <f>B56+C56+D56+E56+F56+G56</f>
        <v>1785.78</v>
      </c>
    </row>
    <row r="57" spans="1:8" x14ac:dyDescent="0.3">
      <c r="A57" s="12" t="s">
        <v>54</v>
      </c>
      <c r="B57" s="17">
        <f t="shared" ref="B57:G57" si="10">B55+B56</f>
        <v>297.88</v>
      </c>
      <c r="C57" s="17">
        <f t="shared" si="10"/>
        <v>297.88</v>
      </c>
      <c r="D57" s="17">
        <f t="shared" si="10"/>
        <v>297.52</v>
      </c>
      <c r="E57" s="17">
        <f t="shared" si="10"/>
        <v>297.5</v>
      </c>
      <c r="F57" s="17">
        <f t="shared" si="10"/>
        <v>297.5</v>
      </c>
      <c r="G57" s="17">
        <f t="shared" si="10"/>
        <v>297.5</v>
      </c>
      <c r="H57" s="18">
        <f>B57+C57+D57+E57+F57+G57</f>
        <v>1785.78</v>
      </c>
    </row>
    <row r="58" spans="1:8" x14ac:dyDescent="0.3">
      <c r="A58" s="10" t="s">
        <v>55</v>
      </c>
      <c r="B58" s="17">
        <f t="shared" ref="B58:G58" si="11">B32+B33+B37+B38+B39+B40+B41+B44+B45+B49+B52+B53+B54+B57</f>
        <v>20794.97</v>
      </c>
      <c r="C58" s="17">
        <f t="shared" si="11"/>
        <v>22547.94</v>
      </c>
      <c r="D58" s="17">
        <f t="shared" si="11"/>
        <v>19230.890000000003</v>
      </c>
      <c r="E58" s="17">
        <f t="shared" si="11"/>
        <v>21037.79</v>
      </c>
      <c r="F58" s="17">
        <f t="shared" si="11"/>
        <v>18313.91</v>
      </c>
      <c r="G58" s="17">
        <f t="shared" si="11"/>
        <v>17545.060000000001</v>
      </c>
      <c r="H58" s="18">
        <f>B58+C58+D58+E58+F58+G58</f>
        <v>119470.56</v>
      </c>
    </row>
    <row r="59" spans="1:8" x14ac:dyDescent="0.3">
      <c r="A59" s="7" t="s">
        <v>56</v>
      </c>
      <c r="B59" s="15"/>
      <c r="C59" s="15"/>
      <c r="D59" s="15"/>
      <c r="E59" s="15"/>
      <c r="F59" s="15"/>
      <c r="G59" s="15"/>
      <c r="H59" s="15"/>
    </row>
    <row r="60" spans="1:8" x14ac:dyDescent="0.3">
      <c r="A60" s="9" t="s">
        <v>57</v>
      </c>
      <c r="B60" s="15"/>
      <c r="C60" s="15"/>
      <c r="D60" s="15"/>
      <c r="E60" s="15"/>
      <c r="F60" s="15"/>
      <c r="G60" s="16">
        <v>4375</v>
      </c>
      <c r="H60" s="16">
        <f>B60+C60+D60+E60+F60+G60</f>
        <v>4375</v>
      </c>
    </row>
    <row r="61" spans="1:8" x14ac:dyDescent="0.3">
      <c r="A61" s="10" t="s">
        <v>58</v>
      </c>
      <c r="B61" s="18">
        <f t="shared" ref="B61:G61" si="12">B59+B60</f>
        <v>0</v>
      </c>
      <c r="C61" s="18">
        <f t="shared" si="12"/>
        <v>0</v>
      </c>
      <c r="D61" s="18">
        <f t="shared" si="12"/>
        <v>0</v>
      </c>
      <c r="E61" s="18">
        <f t="shared" si="12"/>
        <v>0</v>
      </c>
      <c r="F61" s="18">
        <f t="shared" si="12"/>
        <v>0</v>
      </c>
      <c r="G61" s="17">
        <f t="shared" si="12"/>
        <v>4375</v>
      </c>
      <c r="H61" s="18">
        <f>B61+C61+D61+E61+F61+G61</f>
        <v>4375</v>
      </c>
    </row>
    <row r="62" spans="1:8" x14ac:dyDescent="0.3">
      <c r="A62" s="7" t="s">
        <v>59</v>
      </c>
      <c r="B62" s="15"/>
      <c r="C62" s="15"/>
      <c r="D62" s="15"/>
      <c r="E62" s="15"/>
      <c r="F62" s="15"/>
      <c r="G62" s="15"/>
      <c r="H62" s="15"/>
    </row>
    <row r="63" spans="1:8" x14ac:dyDescent="0.3">
      <c r="A63" s="9" t="s">
        <v>60</v>
      </c>
      <c r="B63" s="16">
        <v>2675</v>
      </c>
      <c r="C63" s="16">
        <v>1799</v>
      </c>
      <c r="D63" s="16">
        <v>1950</v>
      </c>
      <c r="E63" s="16">
        <v>1458.5</v>
      </c>
      <c r="F63" s="16">
        <v>2121</v>
      </c>
      <c r="G63" s="16">
        <v>1095</v>
      </c>
      <c r="H63" s="16">
        <f t="shared" ref="H63:H74" si="13">B63+C63+D63+E63+F63+G63</f>
        <v>11098.5</v>
      </c>
    </row>
    <row r="64" spans="1:8" x14ac:dyDescent="0.3">
      <c r="A64" s="9" t="s">
        <v>61</v>
      </c>
      <c r="B64" s="16">
        <v>4952.5</v>
      </c>
      <c r="C64" s="16">
        <v>5765</v>
      </c>
      <c r="D64" s="16">
        <v>7632.5</v>
      </c>
      <c r="E64" s="16">
        <v>7200</v>
      </c>
      <c r="F64" s="16">
        <v>5177.5</v>
      </c>
      <c r="G64" s="16">
        <v>6337.5</v>
      </c>
      <c r="H64" s="16">
        <f t="shared" si="13"/>
        <v>37065</v>
      </c>
    </row>
    <row r="65" spans="1:8" x14ac:dyDescent="0.3">
      <c r="A65" s="9" t="s">
        <v>62</v>
      </c>
      <c r="B65" s="16">
        <v>2047.2</v>
      </c>
      <c r="C65" s="16">
        <v>2557.1999999999998</v>
      </c>
      <c r="D65" s="16">
        <v>2209.3000000000002</v>
      </c>
      <c r="E65" s="16">
        <v>2018.95</v>
      </c>
      <c r="F65" s="16">
        <v>1505.72</v>
      </c>
      <c r="G65" s="16">
        <v>1467.05</v>
      </c>
      <c r="H65" s="16">
        <f t="shared" si="13"/>
        <v>11805.419999999998</v>
      </c>
    </row>
    <row r="66" spans="1:8" x14ac:dyDescent="0.3">
      <c r="A66" s="9" t="s">
        <v>63</v>
      </c>
      <c r="B66" s="16">
        <v>1000</v>
      </c>
      <c r="C66" s="16">
        <v>1000</v>
      </c>
      <c r="D66" s="16">
        <v>1000</v>
      </c>
      <c r="E66" s="16">
        <v>1000</v>
      </c>
      <c r="F66" s="16">
        <v>1000</v>
      </c>
      <c r="G66" s="16">
        <v>1000</v>
      </c>
      <c r="H66" s="16">
        <f t="shared" si="13"/>
        <v>6000</v>
      </c>
    </row>
    <row r="67" spans="1:8" x14ac:dyDescent="0.3">
      <c r="A67" s="9" t="s">
        <v>64</v>
      </c>
      <c r="B67" s="16">
        <v>1175</v>
      </c>
      <c r="C67" s="16">
        <v>867.5</v>
      </c>
      <c r="D67" s="16">
        <v>1180</v>
      </c>
      <c r="E67" s="16">
        <v>870</v>
      </c>
      <c r="F67" s="16">
        <v>1295</v>
      </c>
      <c r="G67" s="16">
        <v>770</v>
      </c>
      <c r="H67" s="16">
        <f t="shared" si="13"/>
        <v>6157.5</v>
      </c>
    </row>
    <row r="68" spans="1:8" x14ac:dyDescent="0.3">
      <c r="A68" s="9" t="s">
        <v>65</v>
      </c>
      <c r="B68" s="16">
        <v>4100.8</v>
      </c>
      <c r="C68" s="16">
        <v>3982.4</v>
      </c>
      <c r="D68" s="16">
        <v>3388</v>
      </c>
      <c r="E68" s="16">
        <v>3646.4</v>
      </c>
      <c r="F68" s="16">
        <v>3521.6</v>
      </c>
      <c r="G68" s="16">
        <v>3470.6</v>
      </c>
      <c r="H68" s="16">
        <f t="shared" si="13"/>
        <v>22109.8</v>
      </c>
    </row>
    <row r="69" spans="1:8" x14ac:dyDescent="0.3">
      <c r="A69" s="9" t="s">
        <v>66</v>
      </c>
      <c r="B69" s="16">
        <v>259.37</v>
      </c>
      <c r="C69" s="16">
        <v>60.37</v>
      </c>
      <c r="D69" s="16">
        <v>198.66</v>
      </c>
      <c r="E69" s="16">
        <v>192.07</v>
      </c>
      <c r="F69" s="16">
        <v>185.49</v>
      </c>
      <c r="G69" s="16">
        <v>185.48</v>
      </c>
      <c r="H69" s="16">
        <f t="shared" si="13"/>
        <v>1081.44</v>
      </c>
    </row>
    <row r="70" spans="1:8" x14ac:dyDescent="0.3">
      <c r="A70" s="9" t="s">
        <v>67</v>
      </c>
      <c r="B70" s="16">
        <v>623.03</v>
      </c>
      <c r="C70" s="16">
        <v>550.46</v>
      </c>
      <c r="D70" s="16">
        <v>546.26</v>
      </c>
      <c r="E70" s="16">
        <v>746.65</v>
      </c>
      <c r="F70" s="16">
        <v>1047.1099999999999</v>
      </c>
      <c r="G70" s="16">
        <v>1053.97</v>
      </c>
      <c r="H70" s="16">
        <f t="shared" si="13"/>
        <v>4567.4800000000005</v>
      </c>
    </row>
    <row r="71" spans="1:8" x14ac:dyDescent="0.3">
      <c r="A71" s="9" t="s">
        <v>68</v>
      </c>
      <c r="B71" s="16">
        <v>4583.34</v>
      </c>
      <c r="C71" s="16">
        <v>4583.34</v>
      </c>
      <c r="D71" s="16">
        <v>4583.34</v>
      </c>
      <c r="E71" s="16">
        <v>7450</v>
      </c>
      <c r="F71" s="16">
        <v>8750.01</v>
      </c>
      <c r="G71" s="16">
        <v>8750</v>
      </c>
      <c r="H71" s="16">
        <f t="shared" si="13"/>
        <v>38700.03</v>
      </c>
    </row>
    <row r="72" spans="1:8" x14ac:dyDescent="0.3">
      <c r="A72" s="9" t="s">
        <v>69</v>
      </c>
      <c r="B72" s="16">
        <v>250</v>
      </c>
      <c r="C72" s="16">
        <v>250</v>
      </c>
      <c r="D72" s="16">
        <v>250</v>
      </c>
      <c r="E72" s="16">
        <v>250</v>
      </c>
      <c r="F72" s="16">
        <v>250</v>
      </c>
      <c r="G72" s="16">
        <v>250</v>
      </c>
      <c r="H72" s="16">
        <f t="shared" si="13"/>
        <v>1500</v>
      </c>
    </row>
    <row r="73" spans="1:8" x14ac:dyDescent="0.3">
      <c r="A73" s="9" t="s">
        <v>70</v>
      </c>
      <c r="B73" s="15"/>
      <c r="C73" s="15"/>
      <c r="D73" s="15"/>
      <c r="E73" s="16">
        <v>248</v>
      </c>
      <c r="F73" s="16">
        <v>223</v>
      </c>
      <c r="G73" s="15"/>
      <c r="H73" s="16">
        <f t="shared" si="13"/>
        <v>471</v>
      </c>
    </row>
    <row r="74" spans="1:8" x14ac:dyDescent="0.3">
      <c r="A74" s="10" t="s">
        <v>71</v>
      </c>
      <c r="B74" s="17">
        <f t="shared" ref="B74:G74" si="14">B62+B63+B64+B65+B66+B67+B68+B69+B70+B71+B72+B73</f>
        <v>21666.240000000002</v>
      </c>
      <c r="C74" s="17">
        <f t="shared" si="14"/>
        <v>21415.27</v>
      </c>
      <c r="D74" s="17">
        <f t="shared" si="14"/>
        <v>22938.059999999998</v>
      </c>
      <c r="E74" s="17">
        <f t="shared" si="14"/>
        <v>25080.570000000003</v>
      </c>
      <c r="F74" s="17">
        <f t="shared" si="14"/>
        <v>25076.43</v>
      </c>
      <c r="G74" s="17">
        <f t="shared" si="14"/>
        <v>24379.599999999999</v>
      </c>
      <c r="H74" s="18">
        <f t="shared" si="13"/>
        <v>140556.17000000001</v>
      </c>
    </row>
    <row r="75" spans="1:8" x14ac:dyDescent="0.3">
      <c r="A75" s="7" t="s">
        <v>72</v>
      </c>
      <c r="B75" s="15"/>
      <c r="C75" s="15"/>
      <c r="D75" s="15"/>
      <c r="E75" s="15"/>
      <c r="F75" s="15"/>
      <c r="G75" s="15"/>
      <c r="H75" s="15"/>
    </row>
    <row r="76" spans="1:8" x14ac:dyDescent="0.3">
      <c r="A76" s="9" t="s">
        <v>73</v>
      </c>
      <c r="B76" s="15"/>
      <c r="C76" s="16">
        <v>881.75</v>
      </c>
      <c r="D76" s="16">
        <v>13.13</v>
      </c>
      <c r="E76" s="15"/>
      <c r="F76" s="16">
        <v>1943.81</v>
      </c>
      <c r="G76" s="15"/>
      <c r="H76" s="16">
        <f t="shared" ref="H76:H82" si="15">B76+C76+D76+E76+F76+G76</f>
        <v>2838.69</v>
      </c>
    </row>
    <row r="77" spans="1:8" x14ac:dyDescent="0.3">
      <c r="A77" s="9" t="s">
        <v>74</v>
      </c>
      <c r="B77" s="16">
        <v>1917.19</v>
      </c>
      <c r="C77" s="16">
        <v>1373.9</v>
      </c>
      <c r="D77" s="16">
        <v>1865.34</v>
      </c>
      <c r="E77" s="16">
        <v>823.82</v>
      </c>
      <c r="F77" s="16">
        <v>592.91</v>
      </c>
      <c r="G77" s="16">
        <v>364.31</v>
      </c>
      <c r="H77" s="16">
        <f t="shared" si="15"/>
        <v>6937.47</v>
      </c>
    </row>
    <row r="78" spans="1:8" x14ac:dyDescent="0.3">
      <c r="A78" s="9" t="s">
        <v>75</v>
      </c>
      <c r="B78" s="16">
        <v>713.5</v>
      </c>
      <c r="C78" s="16">
        <v>1659.96</v>
      </c>
      <c r="D78" s="16">
        <v>349.94</v>
      </c>
      <c r="E78" s="16">
        <v>1368.54</v>
      </c>
      <c r="F78" s="16">
        <v>1164.6199999999999</v>
      </c>
      <c r="G78" s="16">
        <v>1693.54</v>
      </c>
      <c r="H78" s="16">
        <f t="shared" si="15"/>
        <v>6950.0999999999995</v>
      </c>
    </row>
    <row r="79" spans="1:8" x14ac:dyDescent="0.3">
      <c r="A79" s="10" t="s">
        <v>76</v>
      </c>
      <c r="B79" s="17">
        <f t="shared" ref="B79:G79" si="16">B75+B76+B77+B78</f>
        <v>2630.69</v>
      </c>
      <c r="C79" s="17">
        <f t="shared" si="16"/>
        <v>3915.61</v>
      </c>
      <c r="D79" s="17">
        <f t="shared" si="16"/>
        <v>2228.41</v>
      </c>
      <c r="E79" s="17">
        <f t="shared" si="16"/>
        <v>2192.36</v>
      </c>
      <c r="F79" s="17">
        <f t="shared" si="16"/>
        <v>3701.3399999999997</v>
      </c>
      <c r="G79" s="17">
        <f t="shared" si="16"/>
        <v>2057.85</v>
      </c>
      <c r="H79" s="18">
        <f t="shared" si="15"/>
        <v>16726.259999999998</v>
      </c>
    </row>
    <row r="80" spans="1:8" x14ac:dyDescent="0.3">
      <c r="A80" s="7" t="s">
        <v>77</v>
      </c>
      <c r="B80" s="15"/>
      <c r="C80" s="15"/>
      <c r="D80" s="15"/>
      <c r="E80" s="15"/>
      <c r="F80" s="16">
        <v>81.150000000000006</v>
      </c>
      <c r="G80" s="15"/>
      <c r="H80" s="16">
        <f t="shared" si="15"/>
        <v>81.150000000000006</v>
      </c>
    </row>
    <row r="81" spans="1:8" x14ac:dyDescent="0.3">
      <c r="A81" s="8" t="s">
        <v>78</v>
      </c>
      <c r="B81" s="17">
        <f t="shared" ref="B81:G81" si="17">B20+B25+B31+B58+B61+B74+B79+B80</f>
        <v>50020.400000000009</v>
      </c>
      <c r="C81" s="17">
        <f t="shared" si="17"/>
        <v>53031.39</v>
      </c>
      <c r="D81" s="17">
        <f t="shared" si="17"/>
        <v>57201.990000000005</v>
      </c>
      <c r="E81" s="17">
        <f t="shared" si="17"/>
        <v>53196.880000000005</v>
      </c>
      <c r="F81" s="17">
        <f t="shared" si="17"/>
        <v>51539.659999999996</v>
      </c>
      <c r="G81" s="17">
        <f t="shared" si="17"/>
        <v>54095.74</v>
      </c>
      <c r="H81" s="18">
        <f t="shared" si="15"/>
        <v>319086.06</v>
      </c>
    </row>
    <row r="82" spans="1:8" x14ac:dyDescent="0.3">
      <c r="A82" s="8" t="s">
        <v>79</v>
      </c>
      <c r="B82" s="17">
        <f t="shared" ref="B82:G82" si="18">B19-B81</f>
        <v>5168.3299999999945</v>
      </c>
      <c r="C82" s="17">
        <f t="shared" si="18"/>
        <v>9883.6599999999889</v>
      </c>
      <c r="D82" s="17">
        <f t="shared" si="18"/>
        <v>13708.89999999998</v>
      </c>
      <c r="E82" s="17">
        <f t="shared" si="18"/>
        <v>10533.539999999994</v>
      </c>
      <c r="F82" s="17">
        <f t="shared" si="18"/>
        <v>24962.680000000015</v>
      </c>
      <c r="G82" s="17">
        <f t="shared" si="18"/>
        <v>13687.729999999989</v>
      </c>
      <c r="H82" s="18">
        <f t="shared" si="15"/>
        <v>77944.839999999967</v>
      </c>
    </row>
    <row r="83" spans="1:8" x14ac:dyDescent="0.3">
      <c r="A83" s="6" t="s">
        <v>80</v>
      </c>
      <c r="B83" s="15"/>
      <c r="C83" s="15"/>
      <c r="D83" s="15"/>
      <c r="E83" s="15"/>
      <c r="F83" s="15"/>
      <c r="G83" s="15"/>
    </row>
    <row r="84" spans="1:8" x14ac:dyDescent="0.3">
      <c r="A84" s="7" t="s">
        <v>81</v>
      </c>
      <c r="B84" s="16">
        <v>232.28</v>
      </c>
      <c r="C84" s="16">
        <v>244.44</v>
      </c>
      <c r="D84" s="16">
        <v>292.3</v>
      </c>
      <c r="E84" s="16">
        <v>307.54000000000002</v>
      </c>
      <c r="F84" s="16">
        <v>326.89</v>
      </c>
      <c r="G84" s="16">
        <v>289.58</v>
      </c>
      <c r="H84" s="16">
        <f>B84+C84+D84+E84+F84+G84</f>
        <v>1693.0299999999997</v>
      </c>
    </row>
    <row r="85" spans="1:8" x14ac:dyDescent="0.3">
      <c r="A85" s="8" t="s">
        <v>82</v>
      </c>
      <c r="B85" s="17">
        <f t="shared" ref="B85:G85" si="19">B83+B84</f>
        <v>232.28</v>
      </c>
      <c r="C85" s="17">
        <f t="shared" si="19"/>
        <v>244.44</v>
      </c>
      <c r="D85" s="17">
        <f t="shared" si="19"/>
        <v>292.3</v>
      </c>
      <c r="E85" s="17">
        <f t="shared" si="19"/>
        <v>307.54000000000002</v>
      </c>
      <c r="F85" s="17">
        <f t="shared" si="19"/>
        <v>326.89</v>
      </c>
      <c r="G85" s="17">
        <f t="shared" si="19"/>
        <v>289.58</v>
      </c>
      <c r="H85" s="18">
        <f>B85+C85+D85+E85+F85+G85</f>
        <v>1693.0299999999997</v>
      </c>
    </row>
    <row r="86" spans="1:8" x14ac:dyDescent="0.3">
      <c r="A86" s="6" t="s">
        <v>83</v>
      </c>
      <c r="B86" s="15"/>
      <c r="C86" s="15"/>
      <c r="D86" s="15"/>
      <c r="E86" s="15"/>
      <c r="F86" s="15"/>
      <c r="G86" s="15"/>
    </row>
    <row r="87" spans="1:8" x14ac:dyDescent="0.3">
      <c r="A87" s="7" t="s">
        <v>84</v>
      </c>
      <c r="B87" s="16">
        <v>4560.8999999999996</v>
      </c>
      <c r="C87" s="16">
        <v>4546.5</v>
      </c>
      <c r="D87" s="16">
        <v>4093.44</v>
      </c>
      <c r="E87" s="16">
        <v>4435.09</v>
      </c>
      <c r="F87" s="16">
        <v>4435.09</v>
      </c>
      <c r="G87" s="16">
        <v>4484.79</v>
      </c>
      <c r="H87" s="16">
        <f>B87+C87+D87+E87+F87+G87</f>
        <v>26555.81</v>
      </c>
    </row>
    <row r="88" spans="1:8" x14ac:dyDescent="0.3">
      <c r="A88" s="7" t="s">
        <v>85</v>
      </c>
      <c r="B88" s="15"/>
      <c r="C88" s="15"/>
      <c r="D88" s="15"/>
      <c r="E88" s="15"/>
      <c r="F88" s="15"/>
      <c r="G88" s="15"/>
      <c r="H88" s="15"/>
    </row>
    <row r="89" spans="1:8" x14ac:dyDescent="0.3">
      <c r="A89" s="9" t="s">
        <v>86</v>
      </c>
      <c r="B89" s="15"/>
      <c r="C89" s="16">
        <v>33.99</v>
      </c>
      <c r="D89" s="15"/>
      <c r="E89" s="15"/>
      <c r="F89" s="16">
        <v>46.5</v>
      </c>
      <c r="G89" s="15"/>
      <c r="H89" s="16">
        <f>B89+C89+D89+E89+F89+G89</f>
        <v>80.490000000000009</v>
      </c>
    </row>
    <row r="90" spans="1:8" x14ac:dyDescent="0.3">
      <c r="A90" s="10" t="s">
        <v>87</v>
      </c>
      <c r="B90" s="18">
        <f t="shared" ref="B90:G90" si="20">B88+B89</f>
        <v>0</v>
      </c>
      <c r="C90" s="17">
        <f t="shared" si="20"/>
        <v>33.99</v>
      </c>
      <c r="D90" s="18">
        <f t="shared" si="20"/>
        <v>0</v>
      </c>
      <c r="E90" s="18">
        <f t="shared" si="20"/>
        <v>0</v>
      </c>
      <c r="F90" s="17">
        <f t="shared" si="20"/>
        <v>46.5</v>
      </c>
      <c r="G90" s="18">
        <f t="shared" si="20"/>
        <v>0</v>
      </c>
      <c r="H90" s="18">
        <f>B90+C90+D90+E90+F90+G90</f>
        <v>80.490000000000009</v>
      </c>
    </row>
    <row r="91" spans="1:8" x14ac:dyDescent="0.3">
      <c r="A91" s="8" t="s">
        <v>88</v>
      </c>
      <c r="B91" s="17">
        <f t="shared" ref="B91:G91" si="21">B86+B87+B90</f>
        <v>4560.8999999999996</v>
      </c>
      <c r="C91" s="17">
        <f t="shared" si="21"/>
        <v>4580.49</v>
      </c>
      <c r="D91" s="17">
        <f t="shared" si="21"/>
        <v>4093.44</v>
      </c>
      <c r="E91" s="17">
        <f t="shared" si="21"/>
        <v>4435.09</v>
      </c>
      <c r="F91" s="17">
        <f t="shared" si="21"/>
        <v>4481.59</v>
      </c>
      <c r="G91" s="17">
        <f t="shared" si="21"/>
        <v>4484.79</v>
      </c>
      <c r="H91" s="18">
        <f>B91+C91+D91+E91+F91+G91</f>
        <v>26636.3</v>
      </c>
    </row>
    <row r="92" spans="1:8" x14ac:dyDescent="0.3">
      <c r="A92" s="8" t="s">
        <v>89</v>
      </c>
      <c r="B92" s="17">
        <f t="shared" ref="B92:G92" si="22">B85-B91</f>
        <v>-4328.62</v>
      </c>
      <c r="C92" s="17">
        <f t="shared" si="22"/>
        <v>-4336.05</v>
      </c>
      <c r="D92" s="17">
        <f t="shared" si="22"/>
        <v>-3801.14</v>
      </c>
      <c r="E92" s="17">
        <f t="shared" si="22"/>
        <v>-4127.55</v>
      </c>
      <c r="F92" s="17">
        <f t="shared" si="22"/>
        <v>-4154.7</v>
      </c>
      <c r="G92" s="17">
        <f t="shared" si="22"/>
        <v>-4195.21</v>
      </c>
      <c r="H92" s="18">
        <f>B92+C92+D92+E92+F92+G92</f>
        <v>-24943.27</v>
      </c>
    </row>
    <row r="93" spans="1:8" x14ac:dyDescent="0.3">
      <c r="A93" s="8" t="s">
        <v>90</v>
      </c>
      <c r="B93" s="17">
        <f t="shared" ref="B93:G93" si="23">B82+B92</f>
        <v>839.70999999999458</v>
      </c>
      <c r="C93" s="17">
        <f t="shared" si="23"/>
        <v>5547.6099999999888</v>
      </c>
      <c r="D93" s="17">
        <f t="shared" si="23"/>
        <v>9907.7599999999802</v>
      </c>
      <c r="E93" s="17">
        <f t="shared" si="23"/>
        <v>6405.9899999999934</v>
      </c>
      <c r="F93" s="17">
        <f t="shared" si="23"/>
        <v>20807.980000000014</v>
      </c>
      <c r="G93" s="17">
        <f t="shared" si="23"/>
        <v>9492.5199999999895</v>
      </c>
      <c r="H93" s="18">
        <f>B93+C93+D93+E93+F93+G93</f>
        <v>53001.569999999963</v>
      </c>
    </row>
    <row r="97" spans="1:8" x14ac:dyDescent="0.3">
      <c r="A97" s="1" t="s">
        <v>99</v>
      </c>
      <c r="B97" s="4"/>
      <c r="C97" s="4"/>
      <c r="D97" s="4"/>
      <c r="E97" s="4"/>
      <c r="F97" s="4"/>
      <c r="G97" s="4"/>
      <c r="H97" s="4"/>
    </row>
  </sheetData>
  <mergeCells count="4">
    <mergeCell ref="A1:H1"/>
    <mergeCell ref="A2:H2"/>
    <mergeCell ref="A3:H3"/>
    <mergeCell ref="A97:H9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8013-8EB0-42B9-BA08-C4C0A53549DB}">
  <dimension ref="A1:D106"/>
  <sheetViews>
    <sheetView workbookViewId="0">
      <selection activeCell="B5" sqref="B5:D5"/>
    </sheetView>
  </sheetViews>
  <sheetFormatPr defaultColWidth="11.296875" defaultRowHeight="15.6" x14ac:dyDescent="0.3"/>
  <cols>
    <col min="1" max="1" width="32.3984375" style="13" customWidth="1"/>
    <col min="2" max="2" width="17" style="13" customWidth="1"/>
    <col min="3" max="3" width="24.69921875" style="13" customWidth="1"/>
    <col min="4" max="4" width="15.19921875" style="13" customWidth="1"/>
  </cols>
  <sheetData>
    <row r="1" spans="1:4" ht="15.6" customHeight="1" x14ac:dyDescent="0.3">
      <c r="A1" s="5" t="s">
        <v>0</v>
      </c>
      <c r="B1" s="4"/>
      <c r="C1" s="4"/>
      <c r="D1" s="4"/>
    </row>
    <row r="2" spans="1:4" x14ac:dyDescent="0.3">
      <c r="A2" s="3" t="s">
        <v>1</v>
      </c>
      <c r="B2" s="4"/>
      <c r="C2" s="4"/>
      <c r="D2" s="4"/>
    </row>
    <row r="3" spans="1:4" x14ac:dyDescent="0.3">
      <c r="A3" s="2" t="s">
        <v>2</v>
      </c>
      <c r="B3" s="4"/>
      <c r="C3" s="4"/>
      <c r="D3" s="4"/>
    </row>
    <row r="5" spans="1:4" x14ac:dyDescent="0.3">
      <c r="A5" s="14" t="s">
        <v>91</v>
      </c>
      <c r="B5" s="38" t="s">
        <v>98</v>
      </c>
      <c r="C5" s="22"/>
      <c r="D5" s="22"/>
    </row>
    <row r="6" spans="1:4" x14ac:dyDescent="0.3">
      <c r="B6" s="37" t="s">
        <v>110</v>
      </c>
      <c r="C6" s="14" t="s">
        <v>109</v>
      </c>
      <c r="D6" s="14" t="s">
        <v>108</v>
      </c>
    </row>
    <row r="7" spans="1:4" x14ac:dyDescent="0.3">
      <c r="A7" s="6" t="s">
        <v>3</v>
      </c>
    </row>
    <row r="8" spans="1:4" x14ac:dyDescent="0.3">
      <c r="A8" s="7" t="s">
        <v>4</v>
      </c>
      <c r="B8" s="16">
        <v>4689.3</v>
      </c>
      <c r="C8" s="16">
        <v>10643.97</v>
      </c>
      <c r="D8" s="20">
        <f>IFERROR((((B8-C8)/IF(C8&lt;0,-1*C8,C8))*100),"")</f>
        <v>-55.944069740895543</v>
      </c>
    </row>
    <row r="9" spans="1:4" x14ac:dyDescent="0.3">
      <c r="A9" s="7" t="s">
        <v>5</v>
      </c>
      <c r="B9" s="16">
        <v>11214.43</v>
      </c>
      <c r="C9" s="16">
        <v>14030.78</v>
      </c>
      <c r="D9" s="20">
        <f>IFERROR((((B9-C9)/IF(C9&lt;0,-1*C9,C9))*100),"")</f>
        <v>-20.072654549497607</v>
      </c>
    </row>
    <row r="10" spans="1:4" x14ac:dyDescent="0.3">
      <c r="A10" s="7" t="s">
        <v>6</v>
      </c>
      <c r="B10" s="16">
        <v>8680</v>
      </c>
      <c r="C10" s="15"/>
      <c r="D10" s="15" t="s">
        <v>91</v>
      </c>
    </row>
    <row r="11" spans="1:4" x14ac:dyDescent="0.3">
      <c r="A11" s="7" t="s">
        <v>7</v>
      </c>
      <c r="B11" s="16">
        <v>1167.8</v>
      </c>
      <c r="C11" s="15"/>
      <c r="D11" s="15" t="s">
        <v>91</v>
      </c>
    </row>
    <row r="12" spans="1:4" x14ac:dyDescent="0.3">
      <c r="A12" s="7" t="s">
        <v>8</v>
      </c>
      <c r="B12" s="16">
        <v>247702.04</v>
      </c>
      <c r="C12" s="16">
        <v>267300.11</v>
      </c>
      <c r="D12" s="20">
        <f>IFERROR((((B12-C12)/IF(C12&lt;0,-1*C12,C12))*100),"")</f>
        <v>-7.3318600579700393</v>
      </c>
    </row>
    <row r="13" spans="1:4" x14ac:dyDescent="0.3">
      <c r="A13" s="7" t="s">
        <v>9</v>
      </c>
      <c r="B13" s="16">
        <v>23256</v>
      </c>
      <c r="C13" s="16">
        <v>23496</v>
      </c>
      <c r="D13" s="20">
        <f>IFERROR((((B13-C13)/IF(C13&lt;0,-1*C13,C13))*100),"")</f>
        <v>-1.0214504596527068</v>
      </c>
    </row>
    <row r="14" spans="1:4" x14ac:dyDescent="0.3">
      <c r="A14" s="7" t="s">
        <v>10</v>
      </c>
      <c r="B14" s="16">
        <v>2850.01</v>
      </c>
      <c r="C14" s="15"/>
      <c r="D14" s="15" t="s">
        <v>91</v>
      </c>
    </row>
    <row r="15" spans="1:4" x14ac:dyDescent="0.3">
      <c r="A15" s="7" t="s">
        <v>11</v>
      </c>
      <c r="B15" s="16">
        <v>-5232.7</v>
      </c>
      <c r="C15" s="16">
        <v>-5998.9</v>
      </c>
      <c r="D15" s="20">
        <f>IFERROR((((B15-C15)/IF(C15&lt;0,-1*C15,C15))*100),"")</f>
        <v>12.772341595959258</v>
      </c>
    </row>
    <row r="16" spans="1:4" x14ac:dyDescent="0.3">
      <c r="A16" s="7" t="s">
        <v>12</v>
      </c>
      <c r="B16" s="16">
        <v>6080</v>
      </c>
      <c r="C16" s="16">
        <v>4750</v>
      </c>
      <c r="D16" s="20">
        <f>IFERROR((((B16-C16)/IF(C16&lt;0,-1*C16,C16))*100),"")</f>
        <v>28.000000000000004</v>
      </c>
    </row>
    <row r="17" spans="1:4" x14ac:dyDescent="0.3">
      <c r="A17" s="7" t="s">
        <v>13</v>
      </c>
      <c r="B17" s="16">
        <v>87946.48</v>
      </c>
      <c r="C17" s="16">
        <v>5501.5</v>
      </c>
      <c r="D17" s="20">
        <f>IFERROR((((B17-C17)/IF(C17&lt;0,-1*C17,C17))*100),"")</f>
        <v>1498.5909297464327</v>
      </c>
    </row>
    <row r="18" spans="1:4" x14ac:dyDescent="0.3">
      <c r="A18" s="7" t="s">
        <v>14</v>
      </c>
      <c r="B18" s="16">
        <v>8677.5400000000009</v>
      </c>
      <c r="C18" s="16">
        <v>11203.44</v>
      </c>
      <c r="D18" s="20">
        <f>IFERROR((((B18-C18)/IF(C18&lt;0,-1*C18,C18))*100),"")</f>
        <v>-22.54575380418871</v>
      </c>
    </row>
    <row r="19" spans="1:4" x14ac:dyDescent="0.3">
      <c r="A19" s="8" t="s">
        <v>15</v>
      </c>
      <c r="B19" s="18">
        <f>B7+B8+B9+B10+B11+B12+B13+B14+B15+B16+B17+B18</f>
        <v>397030.89999999997</v>
      </c>
      <c r="C19" s="18">
        <f>C7+C8+C9+C10+C11+C12+C13+C14+C15+C16+C17+C18</f>
        <v>330926.89999999997</v>
      </c>
      <c r="D19" s="19">
        <f>IFERROR((((B19-C19)/IF(C19&lt;0,-1*C19,C19))*100),"")</f>
        <v>19.975408466341058</v>
      </c>
    </row>
    <row r="20" spans="1:4" x14ac:dyDescent="0.3">
      <c r="A20" s="6" t="s">
        <v>107</v>
      </c>
    </row>
    <row r="21" spans="1:4" x14ac:dyDescent="0.3">
      <c r="A21" s="7" t="s">
        <v>106</v>
      </c>
      <c r="B21" s="15"/>
      <c r="C21" s="16">
        <v>3180.69</v>
      </c>
      <c r="D21" s="20">
        <f>IFERROR((((B21-C21)/IF(C21&lt;0,-1*C21,C21))*100),"")</f>
        <v>-100</v>
      </c>
    </row>
    <row r="22" spans="1:4" x14ac:dyDescent="0.3">
      <c r="A22" s="8" t="s">
        <v>105</v>
      </c>
      <c r="B22" s="18">
        <f>B20+B21</f>
        <v>0</v>
      </c>
      <c r="C22" s="18">
        <f>C20+C21</f>
        <v>3180.69</v>
      </c>
      <c r="D22" s="19">
        <f>IFERROR((((B22-C22)/IF(C22&lt;0,-1*C22,C22))*100),"")</f>
        <v>-100</v>
      </c>
    </row>
    <row r="23" spans="1:4" x14ac:dyDescent="0.3">
      <c r="A23" s="8" t="s">
        <v>16</v>
      </c>
      <c r="B23" s="18">
        <f>B19-B22</f>
        <v>397030.89999999997</v>
      </c>
      <c r="C23" s="18">
        <f>C19-C22</f>
        <v>327746.20999999996</v>
      </c>
      <c r="D23" s="19">
        <f>IFERROR((((B23-C23)/IF(C23&lt;0,-1*C23,C23))*100),"")</f>
        <v>21.139737969815123</v>
      </c>
    </row>
    <row r="24" spans="1:4" x14ac:dyDescent="0.3">
      <c r="A24" s="6" t="s">
        <v>17</v>
      </c>
    </row>
    <row r="25" spans="1:4" x14ac:dyDescent="0.3">
      <c r="A25" s="7" t="s">
        <v>18</v>
      </c>
      <c r="B25" s="16">
        <v>10036.790000000001</v>
      </c>
      <c r="C25" s="16">
        <v>11233.67</v>
      </c>
      <c r="D25" s="20">
        <f>IFERROR((((B25-C25)/IF(C25&lt;0,-1*C25,C25))*100),"")</f>
        <v>-10.654398785080915</v>
      </c>
    </row>
    <row r="26" spans="1:4" x14ac:dyDescent="0.3">
      <c r="A26" s="9" t="s">
        <v>19</v>
      </c>
      <c r="B26" s="16">
        <v>3035</v>
      </c>
      <c r="C26" s="15"/>
      <c r="D26" s="15" t="s">
        <v>91</v>
      </c>
    </row>
    <row r="27" spans="1:4" x14ac:dyDescent="0.3">
      <c r="A27" s="9" t="s">
        <v>20</v>
      </c>
      <c r="B27" s="16">
        <v>4150</v>
      </c>
      <c r="C27" s="16">
        <v>5080</v>
      </c>
      <c r="D27" s="20">
        <f>IFERROR((((B27-C27)/IF(C27&lt;0,-1*C27,C27))*100),"")</f>
        <v>-18.30708661417323</v>
      </c>
    </row>
    <row r="28" spans="1:4" x14ac:dyDescent="0.3">
      <c r="A28" s="9" t="s">
        <v>21</v>
      </c>
      <c r="B28" s="16">
        <v>9257.25</v>
      </c>
      <c r="C28" s="16">
        <v>3327.13</v>
      </c>
      <c r="D28" s="20">
        <f>IFERROR((((B28-C28)/IF(C28&lt;0,-1*C28,C28))*100),"")</f>
        <v>178.23529588564318</v>
      </c>
    </row>
    <row r="29" spans="1:4" x14ac:dyDescent="0.3">
      <c r="A29" s="10" t="s">
        <v>22</v>
      </c>
      <c r="B29" s="18">
        <f>B25+B26+B27+B28</f>
        <v>26479.040000000001</v>
      </c>
      <c r="C29" s="18">
        <f>C25+C26+C27+C28</f>
        <v>19640.8</v>
      </c>
      <c r="D29" s="19">
        <f>IFERROR((((B29-C29)/IF(C29&lt;0,-1*C29,C29))*100),"")</f>
        <v>34.816504419371931</v>
      </c>
    </row>
    <row r="30" spans="1:4" x14ac:dyDescent="0.3">
      <c r="A30" s="7" t="s">
        <v>23</v>
      </c>
      <c r="B30" s="15"/>
      <c r="C30" s="15"/>
      <c r="D30" s="15" t="s">
        <v>91</v>
      </c>
    </row>
    <row r="31" spans="1:4" x14ac:dyDescent="0.3">
      <c r="A31" s="9" t="s">
        <v>24</v>
      </c>
      <c r="B31" s="16">
        <v>571.63</v>
      </c>
      <c r="C31" s="16">
        <v>1043.9000000000001</v>
      </c>
      <c r="D31" s="20">
        <f>IFERROR((((B31-C31)/IF(C31&lt;0,-1*C31,C31))*100),"")</f>
        <v>-45.240923460101548</v>
      </c>
    </row>
    <row r="32" spans="1:4" x14ac:dyDescent="0.3">
      <c r="A32" s="9" t="s">
        <v>25</v>
      </c>
      <c r="B32" s="16">
        <v>694</v>
      </c>
      <c r="C32" s="15"/>
      <c r="D32" s="15" t="s">
        <v>91</v>
      </c>
    </row>
    <row r="33" spans="1:4" x14ac:dyDescent="0.3">
      <c r="A33" s="9" t="s">
        <v>26</v>
      </c>
      <c r="B33" s="16">
        <v>9931.43</v>
      </c>
      <c r="C33" s="16">
        <v>1781.84</v>
      </c>
      <c r="D33" s="20">
        <f>IFERROR((((B33-C33)/IF(C33&lt;0,-1*C33,C33))*100),"")</f>
        <v>457.36934853858935</v>
      </c>
    </row>
    <row r="34" spans="1:4" x14ac:dyDescent="0.3">
      <c r="A34" s="9" t="s">
        <v>27</v>
      </c>
      <c r="B34" s="16">
        <v>200.82</v>
      </c>
      <c r="C34" s="16">
        <v>1949.2</v>
      </c>
      <c r="D34" s="20">
        <f>IFERROR((((B34-C34)/IF(C34&lt;0,-1*C34,C34))*100),"")</f>
        <v>-89.697311717627741</v>
      </c>
    </row>
    <row r="35" spans="1:4" x14ac:dyDescent="0.3">
      <c r="A35" s="9" t="s">
        <v>104</v>
      </c>
      <c r="B35" s="15"/>
      <c r="C35" s="16">
        <v>193.3</v>
      </c>
      <c r="D35" s="20">
        <f>IFERROR((((B35-C35)/IF(C35&lt;0,-1*C35,C35))*100),"")</f>
        <v>-100</v>
      </c>
    </row>
    <row r="36" spans="1:4" x14ac:dyDescent="0.3">
      <c r="A36" s="10" t="s">
        <v>28</v>
      </c>
      <c r="B36" s="18">
        <f>B30+B31+B32+B33+B34+B35</f>
        <v>11397.880000000001</v>
      </c>
      <c r="C36" s="18">
        <f>C30+C31+C32+C33+C34+C35</f>
        <v>4968.24</v>
      </c>
      <c r="D36" s="19">
        <f>IFERROR((((B36-C36)/IF(C36&lt;0,-1*C36,C36))*100),"")</f>
        <v>129.41484308326491</v>
      </c>
    </row>
    <row r="37" spans="1:4" x14ac:dyDescent="0.3">
      <c r="A37" s="7" t="s">
        <v>29</v>
      </c>
      <c r="B37" s="15"/>
      <c r="C37" s="15"/>
      <c r="D37" s="15" t="s">
        <v>91</v>
      </c>
    </row>
    <row r="38" spans="1:4" x14ac:dyDescent="0.3">
      <c r="A38" s="9" t="s">
        <v>30</v>
      </c>
      <c r="B38" s="16">
        <v>5952.11</v>
      </c>
      <c r="C38" s="16">
        <v>6040</v>
      </c>
      <c r="D38" s="20">
        <f t="shared" ref="D38:D44" si="0">IFERROR((((B38-C38)/IF(C38&lt;0,-1*C38,C38))*100),"")</f>
        <v>-1.4551324503311311</v>
      </c>
    </row>
    <row r="39" spans="1:4" x14ac:dyDescent="0.3">
      <c r="A39" s="9" t="s">
        <v>31</v>
      </c>
      <c r="B39" s="15"/>
      <c r="C39" s="16">
        <v>14.61</v>
      </c>
      <c r="D39" s="20">
        <f t="shared" si="0"/>
        <v>-100</v>
      </c>
    </row>
    <row r="40" spans="1:4" x14ac:dyDescent="0.3">
      <c r="A40" s="11" t="s">
        <v>32</v>
      </c>
      <c r="B40" s="16">
        <v>713.95</v>
      </c>
      <c r="C40" s="16">
        <v>1004.97</v>
      </c>
      <c r="D40" s="20">
        <f t="shared" si="0"/>
        <v>-28.958078350597528</v>
      </c>
    </row>
    <row r="41" spans="1:4" x14ac:dyDescent="0.3">
      <c r="A41" s="11" t="s">
        <v>33</v>
      </c>
      <c r="B41" s="16">
        <v>129</v>
      </c>
      <c r="C41" s="16">
        <v>109.21</v>
      </c>
      <c r="D41" s="20">
        <f t="shared" si="0"/>
        <v>18.121051185788854</v>
      </c>
    </row>
    <row r="42" spans="1:4" x14ac:dyDescent="0.3">
      <c r="A42" s="12" t="s">
        <v>34</v>
      </c>
      <c r="B42" s="18">
        <f>B39+B40+B41</f>
        <v>842.95</v>
      </c>
      <c r="C42" s="18">
        <f>C39+C40+C41</f>
        <v>1128.79</v>
      </c>
      <c r="D42" s="19">
        <f t="shared" si="0"/>
        <v>-25.322690668769205</v>
      </c>
    </row>
    <row r="43" spans="1:4" x14ac:dyDescent="0.3">
      <c r="A43" s="9" t="s">
        <v>35</v>
      </c>
      <c r="B43" s="16">
        <v>307.05</v>
      </c>
      <c r="C43" s="16">
        <v>300</v>
      </c>
      <c r="D43" s="20">
        <f t="shared" si="0"/>
        <v>2.3500000000000036</v>
      </c>
    </row>
    <row r="44" spans="1:4" x14ac:dyDescent="0.3">
      <c r="A44" s="9" t="s">
        <v>36</v>
      </c>
      <c r="B44" s="16">
        <v>1932.82</v>
      </c>
      <c r="C44" s="16">
        <v>5798.46</v>
      </c>
      <c r="D44" s="20">
        <f t="shared" si="0"/>
        <v>-66.666666666666671</v>
      </c>
    </row>
    <row r="45" spans="1:4" x14ac:dyDescent="0.3">
      <c r="A45" s="9" t="s">
        <v>103</v>
      </c>
      <c r="B45" s="15"/>
      <c r="C45" s="21">
        <v>0</v>
      </c>
      <c r="D45" s="15" t="s">
        <v>91</v>
      </c>
    </row>
    <row r="46" spans="1:4" x14ac:dyDescent="0.3">
      <c r="A46" s="9" t="s">
        <v>37</v>
      </c>
      <c r="B46" s="16">
        <v>1500.1</v>
      </c>
      <c r="C46" s="16">
        <v>20</v>
      </c>
      <c r="D46" s="20">
        <f>IFERROR((((B46-C46)/IF(C46&lt;0,-1*C46,C46))*100),"")</f>
        <v>7400.5</v>
      </c>
    </row>
    <row r="47" spans="1:4" x14ac:dyDescent="0.3">
      <c r="A47" s="9" t="s">
        <v>38</v>
      </c>
      <c r="B47" s="16">
        <v>5178.84</v>
      </c>
      <c r="C47" s="16">
        <v>3480.66</v>
      </c>
      <c r="D47" s="20">
        <f>IFERROR((((B47-C47)/IF(C47&lt;0,-1*C47,C47))*100),"")</f>
        <v>48.789022771543337</v>
      </c>
    </row>
    <row r="48" spans="1:4" x14ac:dyDescent="0.3">
      <c r="A48" s="9" t="s">
        <v>39</v>
      </c>
      <c r="B48" s="16">
        <v>14</v>
      </c>
      <c r="C48" s="15"/>
      <c r="D48" s="15" t="s">
        <v>91</v>
      </c>
    </row>
    <row r="49" spans="1:4" x14ac:dyDescent="0.3">
      <c r="A49" s="11" t="s">
        <v>40</v>
      </c>
      <c r="B49" s="16">
        <v>5343.68</v>
      </c>
      <c r="C49" s="16">
        <v>508.69</v>
      </c>
      <c r="D49" s="20">
        <f>IFERROR((((B49-C49)/IF(C49&lt;0,-1*C49,C49))*100),"")</f>
        <v>950.47868053234799</v>
      </c>
    </row>
    <row r="50" spans="1:4" x14ac:dyDescent="0.3">
      <c r="A50" s="12" t="s">
        <v>41</v>
      </c>
      <c r="B50" s="18">
        <f>B48+B49</f>
        <v>5357.68</v>
      </c>
      <c r="C50" s="18">
        <f>C48+C49</f>
        <v>508.69</v>
      </c>
      <c r="D50" s="19">
        <f>IFERROR((((B50-C50)/IF(C50&lt;0,-1*C50,C50))*100),"")</f>
        <v>953.23084786412176</v>
      </c>
    </row>
    <row r="51" spans="1:4" x14ac:dyDescent="0.3">
      <c r="A51" s="9" t="s">
        <v>42</v>
      </c>
      <c r="B51" s="16">
        <v>8327.41</v>
      </c>
      <c r="C51" s="16">
        <v>6876.19</v>
      </c>
      <c r="D51" s="20">
        <f>IFERROR((((B51-C51)/IF(C51&lt;0,-1*C51,C51))*100),"")</f>
        <v>21.105001461565205</v>
      </c>
    </row>
    <row r="52" spans="1:4" x14ac:dyDescent="0.3">
      <c r="A52" s="9" t="s">
        <v>43</v>
      </c>
      <c r="B52" s="16">
        <v>1229.25</v>
      </c>
      <c r="C52" s="16">
        <v>1229.3800000000001</v>
      </c>
      <c r="D52" s="20">
        <f>IFERROR((((B52-C52)/IF(C52&lt;0,-1*C52,C52))*100),"")</f>
        <v>-1.0574435894524812E-2</v>
      </c>
    </row>
    <row r="53" spans="1:4" x14ac:dyDescent="0.3">
      <c r="A53" s="11" t="s">
        <v>44</v>
      </c>
      <c r="B53" s="16">
        <v>114.99</v>
      </c>
      <c r="C53" s="15"/>
      <c r="D53" s="15" t="s">
        <v>91</v>
      </c>
    </row>
    <row r="54" spans="1:4" x14ac:dyDescent="0.3">
      <c r="A54" s="11" t="s">
        <v>102</v>
      </c>
      <c r="B54" s="15"/>
      <c r="C54" s="16">
        <v>75.55</v>
      </c>
      <c r="D54" s="20">
        <f t="shared" ref="D54:D65" si="1">IFERROR((((B54-C54)/IF(C54&lt;0,-1*C54,C54))*100),"")</f>
        <v>-100</v>
      </c>
    </row>
    <row r="55" spans="1:4" x14ac:dyDescent="0.3">
      <c r="A55" s="11" t="s">
        <v>45</v>
      </c>
      <c r="B55" s="16">
        <v>1253.8900000000001</v>
      </c>
      <c r="C55" s="16">
        <v>541.59</v>
      </c>
      <c r="D55" s="20">
        <f t="shared" si="1"/>
        <v>131.52015362174339</v>
      </c>
    </row>
    <row r="56" spans="1:4" x14ac:dyDescent="0.3">
      <c r="A56" s="12" t="s">
        <v>46</v>
      </c>
      <c r="B56" s="18">
        <f>B52+B53+B54+B55</f>
        <v>2598.13</v>
      </c>
      <c r="C56" s="18">
        <f>C52+C53+C54+C55</f>
        <v>1846.52</v>
      </c>
      <c r="D56" s="19">
        <f t="shared" si="1"/>
        <v>40.704135346489622</v>
      </c>
    </row>
    <row r="57" spans="1:4" x14ac:dyDescent="0.3">
      <c r="A57" s="9" t="s">
        <v>47</v>
      </c>
      <c r="B57" s="16">
        <v>79998</v>
      </c>
      <c r="C57" s="16">
        <v>74783.7</v>
      </c>
      <c r="D57" s="20">
        <f t="shared" si="1"/>
        <v>6.9725087151344525</v>
      </c>
    </row>
    <row r="58" spans="1:4" x14ac:dyDescent="0.3">
      <c r="A58" s="11" t="s">
        <v>48</v>
      </c>
      <c r="B58" s="16">
        <v>934.74</v>
      </c>
      <c r="C58" s="16">
        <v>844.48</v>
      </c>
      <c r="D58" s="20">
        <f t="shared" si="1"/>
        <v>10.688234179613488</v>
      </c>
    </row>
    <row r="59" spans="1:4" x14ac:dyDescent="0.3">
      <c r="A59" s="12" t="s">
        <v>49</v>
      </c>
      <c r="B59" s="18">
        <f>B57+B58</f>
        <v>80932.740000000005</v>
      </c>
      <c r="C59" s="18">
        <f>C57+C58</f>
        <v>75628.179999999993</v>
      </c>
      <c r="D59" s="19">
        <f t="shared" si="1"/>
        <v>7.0139992791047101</v>
      </c>
    </row>
    <row r="60" spans="1:4" x14ac:dyDescent="0.3">
      <c r="A60" s="9" t="s">
        <v>50</v>
      </c>
      <c r="B60" s="16">
        <v>4432.95</v>
      </c>
      <c r="C60" s="16">
        <v>1510.75</v>
      </c>
      <c r="D60" s="20">
        <f t="shared" si="1"/>
        <v>193.42710574218103</v>
      </c>
    </row>
    <row r="61" spans="1:4" x14ac:dyDescent="0.3">
      <c r="A61" s="9" t="s">
        <v>51</v>
      </c>
      <c r="B61" s="16">
        <v>322</v>
      </c>
      <c r="C61" s="16">
        <v>376</v>
      </c>
      <c r="D61" s="20">
        <f t="shared" si="1"/>
        <v>-14.361702127659576</v>
      </c>
    </row>
    <row r="62" spans="1:4" x14ac:dyDescent="0.3">
      <c r="A62" s="9" t="s">
        <v>52</v>
      </c>
      <c r="B62" s="15"/>
      <c r="C62" s="16">
        <v>21.95</v>
      </c>
      <c r="D62" s="20">
        <f t="shared" si="1"/>
        <v>-100</v>
      </c>
    </row>
    <row r="63" spans="1:4" x14ac:dyDescent="0.3">
      <c r="A63" s="11" t="s">
        <v>53</v>
      </c>
      <c r="B63" s="16">
        <v>1785.78</v>
      </c>
      <c r="C63" s="16">
        <v>1334.67</v>
      </c>
      <c r="D63" s="20">
        <f t="shared" si="1"/>
        <v>33.799366135449205</v>
      </c>
    </row>
    <row r="64" spans="1:4" x14ac:dyDescent="0.3">
      <c r="A64" s="12" t="s">
        <v>54</v>
      </c>
      <c r="B64" s="18">
        <f>B62+B63</f>
        <v>1785.78</v>
      </c>
      <c r="C64" s="18">
        <f>C62+C63</f>
        <v>1356.6200000000001</v>
      </c>
      <c r="D64" s="19">
        <f t="shared" si="1"/>
        <v>31.634503398151274</v>
      </c>
    </row>
    <row r="65" spans="1:4" x14ac:dyDescent="0.3">
      <c r="A65" s="10" t="s">
        <v>55</v>
      </c>
      <c r="B65" s="18">
        <f>B37+B38+B42+B43+B44+B45+B46+B47+B50+B51+B56+B59+B60+B61+B64</f>
        <v>119470.56000000001</v>
      </c>
      <c r="C65" s="18">
        <f>C37+C38+C42+C43+C44+C45+C46+C47+C50+C51+C56+C59+C60+C61+C64</f>
        <v>104870.85999999999</v>
      </c>
      <c r="D65" s="19">
        <f t="shared" si="1"/>
        <v>13.921598430679435</v>
      </c>
    </row>
    <row r="66" spans="1:4" x14ac:dyDescent="0.3">
      <c r="A66" s="7" t="s">
        <v>56</v>
      </c>
      <c r="B66" s="15"/>
      <c r="C66" s="15"/>
      <c r="D66" s="15" t="s">
        <v>91</v>
      </c>
    </row>
    <row r="67" spans="1:4" x14ac:dyDescent="0.3">
      <c r="A67" s="9" t="s">
        <v>57</v>
      </c>
      <c r="B67" s="16">
        <v>4375</v>
      </c>
      <c r="C67" s="16">
        <v>4812.5</v>
      </c>
      <c r="D67" s="20">
        <f>IFERROR((((B67-C67)/IF(C67&lt;0,-1*C67,C67))*100),"")</f>
        <v>-9.0909090909090917</v>
      </c>
    </row>
    <row r="68" spans="1:4" x14ac:dyDescent="0.3">
      <c r="A68" s="10" t="s">
        <v>58</v>
      </c>
      <c r="B68" s="18">
        <f>B66+B67</f>
        <v>4375</v>
      </c>
      <c r="C68" s="18">
        <f>C66+C67</f>
        <v>4812.5</v>
      </c>
      <c r="D68" s="19">
        <f>IFERROR((((B68-C68)/IF(C68&lt;0,-1*C68,C68))*100),"")</f>
        <v>-9.0909090909090917</v>
      </c>
    </row>
    <row r="69" spans="1:4" x14ac:dyDescent="0.3">
      <c r="A69" s="7" t="s">
        <v>59</v>
      </c>
      <c r="B69" s="15"/>
      <c r="C69" s="15"/>
      <c r="D69" s="15" t="s">
        <v>91</v>
      </c>
    </row>
    <row r="70" spans="1:4" x14ac:dyDescent="0.3">
      <c r="A70" s="9" t="s">
        <v>60</v>
      </c>
      <c r="B70" s="16">
        <v>11098.5</v>
      </c>
      <c r="C70" s="16">
        <v>26689</v>
      </c>
      <c r="D70" s="20">
        <f>IFERROR((((B70-C70)/IF(C70&lt;0,-1*C70,C70))*100),"")</f>
        <v>-58.415452058900676</v>
      </c>
    </row>
    <row r="71" spans="1:4" x14ac:dyDescent="0.3">
      <c r="A71" s="9" t="s">
        <v>61</v>
      </c>
      <c r="B71" s="16">
        <v>37065</v>
      </c>
      <c r="C71" s="16">
        <v>34535.75</v>
      </c>
      <c r="D71" s="20">
        <f>IFERROR((((B71-C71)/IF(C71&lt;0,-1*C71,C71))*100),"")</f>
        <v>7.3235705030294698</v>
      </c>
    </row>
    <row r="72" spans="1:4" x14ac:dyDescent="0.3">
      <c r="A72" s="9" t="s">
        <v>62</v>
      </c>
      <c r="B72" s="16">
        <v>11805.42</v>
      </c>
      <c r="C72" s="15"/>
      <c r="D72" s="15" t="s">
        <v>91</v>
      </c>
    </row>
    <row r="73" spans="1:4" x14ac:dyDescent="0.3">
      <c r="A73" s="9" t="s">
        <v>63</v>
      </c>
      <c r="B73" s="16">
        <v>6000</v>
      </c>
      <c r="C73" s="15"/>
      <c r="D73" s="15" t="s">
        <v>91</v>
      </c>
    </row>
    <row r="74" spans="1:4" x14ac:dyDescent="0.3">
      <c r="A74" s="9" t="s">
        <v>64</v>
      </c>
      <c r="B74" s="16">
        <v>6157.5</v>
      </c>
      <c r="C74" s="16">
        <v>5767</v>
      </c>
      <c r="D74" s="20">
        <f>IFERROR((((B74-C74)/IF(C74&lt;0,-1*C74,C74))*100),"")</f>
        <v>6.7712848968267734</v>
      </c>
    </row>
    <row r="75" spans="1:4" x14ac:dyDescent="0.3">
      <c r="A75" s="9" t="s">
        <v>65</v>
      </c>
      <c r="B75" s="16">
        <v>22109.8</v>
      </c>
      <c r="C75" s="16">
        <v>13936.6</v>
      </c>
      <c r="D75" s="20">
        <f>IFERROR((((B75-C75)/IF(C75&lt;0,-1*C75,C75))*100),"")</f>
        <v>58.645580701175312</v>
      </c>
    </row>
    <row r="76" spans="1:4" x14ac:dyDescent="0.3">
      <c r="A76" s="9" t="s">
        <v>66</v>
      </c>
      <c r="B76" s="16">
        <v>1081.44</v>
      </c>
      <c r="C76" s="15"/>
      <c r="D76" s="15" t="s">
        <v>91</v>
      </c>
    </row>
    <row r="77" spans="1:4" x14ac:dyDescent="0.3">
      <c r="A77" s="9" t="s">
        <v>67</v>
      </c>
      <c r="B77" s="16">
        <v>4567.4799999999996</v>
      </c>
      <c r="C77" s="15"/>
      <c r="D77" s="15" t="s">
        <v>91</v>
      </c>
    </row>
    <row r="78" spans="1:4" x14ac:dyDescent="0.3">
      <c r="A78" s="9" t="s">
        <v>101</v>
      </c>
      <c r="B78" s="15"/>
      <c r="C78" s="16">
        <v>2628.25</v>
      </c>
      <c r="D78" s="20">
        <f>IFERROR((((B78-C78)/IF(C78&lt;0,-1*C78,C78))*100),"")</f>
        <v>-100</v>
      </c>
    </row>
    <row r="79" spans="1:4" x14ac:dyDescent="0.3">
      <c r="A79" s="9" t="s">
        <v>68</v>
      </c>
      <c r="B79" s="16">
        <v>38700.03</v>
      </c>
      <c r="C79" s="15"/>
      <c r="D79" s="15" t="s">
        <v>91</v>
      </c>
    </row>
    <row r="80" spans="1:4" x14ac:dyDescent="0.3">
      <c r="A80" s="9" t="s">
        <v>69</v>
      </c>
      <c r="B80" s="16">
        <v>1500</v>
      </c>
      <c r="C80" s="15"/>
      <c r="D80" s="15" t="s">
        <v>91</v>
      </c>
    </row>
    <row r="81" spans="1:4" x14ac:dyDescent="0.3">
      <c r="A81" s="9" t="s">
        <v>70</v>
      </c>
      <c r="B81" s="16">
        <v>471</v>
      </c>
      <c r="C81" s="15"/>
      <c r="D81" s="15" t="s">
        <v>91</v>
      </c>
    </row>
    <row r="82" spans="1:4" x14ac:dyDescent="0.3">
      <c r="A82" s="10" t="s">
        <v>71</v>
      </c>
      <c r="B82" s="18">
        <f>B69+B70+B71+B72+B73+B74+B75+B76+B77+B78+B79+B80+B81</f>
        <v>140556.16999999998</v>
      </c>
      <c r="C82" s="18">
        <f>C69+C70+C71+C72+C73+C74+C75+C76+C77+C78+C79+C80+C81</f>
        <v>83556.600000000006</v>
      </c>
      <c r="D82" s="19">
        <f>IFERROR((((B82-C82)/IF(C82&lt;0,-1*C82,C82))*100),"")</f>
        <v>68.216717769751256</v>
      </c>
    </row>
    <row r="83" spans="1:4" x14ac:dyDescent="0.3">
      <c r="A83" s="7" t="s">
        <v>72</v>
      </c>
      <c r="B83" s="15"/>
      <c r="C83" s="15"/>
      <c r="D83" s="15" t="s">
        <v>91</v>
      </c>
    </row>
    <row r="84" spans="1:4" x14ac:dyDescent="0.3">
      <c r="A84" s="9" t="s">
        <v>73</v>
      </c>
      <c r="B84" s="16">
        <v>2838.69</v>
      </c>
      <c r="C84" s="15"/>
      <c r="D84" s="15" t="s">
        <v>91</v>
      </c>
    </row>
    <row r="85" spans="1:4" x14ac:dyDescent="0.3">
      <c r="A85" s="9" t="s">
        <v>74</v>
      </c>
      <c r="B85" s="16">
        <v>6937.47</v>
      </c>
      <c r="C85" s="16">
        <v>3832.83</v>
      </c>
      <c r="D85" s="20">
        <f t="shared" ref="D85:D90" si="2">IFERROR((((B85-C85)/IF(C85&lt;0,-1*C85,C85))*100),"")</f>
        <v>81.001244511235839</v>
      </c>
    </row>
    <row r="86" spans="1:4" x14ac:dyDescent="0.3">
      <c r="A86" s="9" t="s">
        <v>75</v>
      </c>
      <c r="B86" s="16">
        <v>6950.1</v>
      </c>
      <c r="C86" s="16">
        <v>6217.53</v>
      </c>
      <c r="D86" s="20">
        <f t="shared" si="2"/>
        <v>11.782331568967109</v>
      </c>
    </row>
    <row r="87" spans="1:4" x14ac:dyDescent="0.3">
      <c r="A87" s="10" t="s">
        <v>76</v>
      </c>
      <c r="B87" s="18">
        <f>B83+B84+B85+B86</f>
        <v>16726.260000000002</v>
      </c>
      <c r="C87" s="18">
        <f>C83+C84+C85+C86</f>
        <v>10050.36</v>
      </c>
      <c r="D87" s="19">
        <f t="shared" si="2"/>
        <v>66.424486287058386</v>
      </c>
    </row>
    <row r="88" spans="1:4" x14ac:dyDescent="0.3">
      <c r="A88" s="7" t="s">
        <v>77</v>
      </c>
      <c r="B88" s="16">
        <v>81.150000000000006</v>
      </c>
      <c r="C88" s="16">
        <v>174.15</v>
      </c>
      <c r="D88" s="20">
        <f t="shared" si="2"/>
        <v>-53.402239448751075</v>
      </c>
    </row>
    <row r="89" spans="1:4" x14ac:dyDescent="0.3">
      <c r="A89" s="8" t="s">
        <v>78</v>
      </c>
      <c r="B89" s="18">
        <f>B24+B29+B36+B65+B68+B82+B87+B88</f>
        <v>319086.06000000006</v>
      </c>
      <c r="C89" s="18">
        <f>C24+C29+C36+C65+C68+C82+C87+C88</f>
        <v>228073.50999999998</v>
      </c>
      <c r="D89" s="19">
        <f t="shared" si="2"/>
        <v>39.904919251692178</v>
      </c>
    </row>
    <row r="90" spans="1:4" x14ac:dyDescent="0.3">
      <c r="A90" s="8" t="s">
        <v>79</v>
      </c>
      <c r="B90" s="18">
        <f>B23-B89</f>
        <v>77944.839999999909</v>
      </c>
      <c r="C90" s="18">
        <f>C23-C89</f>
        <v>99672.699999999983</v>
      </c>
      <c r="D90" s="19">
        <f t="shared" si="2"/>
        <v>-21.799208810436635</v>
      </c>
    </row>
    <row r="91" spans="1:4" x14ac:dyDescent="0.3">
      <c r="A91" s="6" t="s">
        <v>80</v>
      </c>
    </row>
    <row r="92" spans="1:4" x14ac:dyDescent="0.3">
      <c r="A92" s="7" t="s">
        <v>100</v>
      </c>
      <c r="B92" s="15"/>
      <c r="C92" s="16">
        <v>98.14</v>
      </c>
      <c r="D92" s="20">
        <f>IFERROR((((B92-C92)/IF(C92&lt;0,-1*C92,C92))*100),"")</f>
        <v>-100</v>
      </c>
    </row>
    <row r="93" spans="1:4" x14ac:dyDescent="0.3">
      <c r="A93" s="7" t="s">
        <v>81</v>
      </c>
      <c r="B93" s="16">
        <v>1693.03</v>
      </c>
      <c r="C93" s="16">
        <v>1566.34</v>
      </c>
      <c r="D93" s="20">
        <f>IFERROR((((B93-C93)/IF(C93&lt;0,-1*C93,C93))*100),"")</f>
        <v>8.088282237572944</v>
      </c>
    </row>
    <row r="94" spans="1:4" x14ac:dyDescent="0.3">
      <c r="A94" s="8" t="s">
        <v>82</v>
      </c>
      <c r="B94" s="18">
        <f>B91+B92+B93</f>
        <v>1693.03</v>
      </c>
      <c r="C94" s="18">
        <f>C91+C92+C93</f>
        <v>1664.48</v>
      </c>
      <c r="D94" s="19">
        <f>IFERROR((((B94-C94)/IF(C94&lt;0,-1*C94,C94))*100),"")</f>
        <v>1.7152504085359965</v>
      </c>
    </row>
    <row r="95" spans="1:4" x14ac:dyDescent="0.3">
      <c r="A95" s="6" t="s">
        <v>83</v>
      </c>
    </row>
    <row r="96" spans="1:4" x14ac:dyDescent="0.3">
      <c r="A96" s="7" t="s">
        <v>84</v>
      </c>
      <c r="B96" s="16">
        <v>26555.81</v>
      </c>
      <c r="C96" s="16">
        <v>40937.49</v>
      </c>
      <c r="D96" s="20">
        <f>IFERROR((((B96-C96)/IF(C96&lt;0,-1*C96,C96))*100),"")</f>
        <v>-35.13082995562258</v>
      </c>
    </row>
    <row r="97" spans="1:4" x14ac:dyDescent="0.3">
      <c r="A97" s="7" t="s">
        <v>85</v>
      </c>
      <c r="B97" s="15"/>
      <c r="C97" s="15"/>
      <c r="D97" s="15" t="s">
        <v>91</v>
      </c>
    </row>
    <row r="98" spans="1:4" x14ac:dyDescent="0.3">
      <c r="A98" s="9" t="s">
        <v>86</v>
      </c>
      <c r="B98" s="16">
        <v>80.489999999999995</v>
      </c>
      <c r="C98" s="16">
        <v>41.97</v>
      </c>
      <c r="D98" s="20">
        <f>IFERROR((((B98-C98)/IF(C98&lt;0,-1*C98,C98))*100),"")</f>
        <v>91.779842744817714</v>
      </c>
    </row>
    <row r="99" spans="1:4" x14ac:dyDescent="0.3">
      <c r="A99" s="10" t="s">
        <v>87</v>
      </c>
      <c r="B99" s="18">
        <f>B97+B98</f>
        <v>80.489999999999995</v>
      </c>
      <c r="C99" s="18">
        <f>C97+C98</f>
        <v>41.97</v>
      </c>
      <c r="D99" s="19">
        <f>IFERROR((((B99-C99)/IF(C99&lt;0,-1*C99,C99))*100),"")</f>
        <v>91.779842744817714</v>
      </c>
    </row>
    <row r="100" spans="1:4" x14ac:dyDescent="0.3">
      <c r="A100" s="8" t="s">
        <v>88</v>
      </c>
      <c r="B100" s="18">
        <f>B95+B96+B99</f>
        <v>26636.300000000003</v>
      </c>
      <c r="C100" s="18">
        <f>C95+C96+C99</f>
        <v>40979.46</v>
      </c>
      <c r="D100" s="19">
        <f>IFERROR((((B100-C100)/IF(C100&lt;0,-1*C100,C100))*100),"")</f>
        <v>-35.00085164616614</v>
      </c>
    </row>
    <row r="101" spans="1:4" x14ac:dyDescent="0.3">
      <c r="A101" s="8" t="s">
        <v>89</v>
      </c>
      <c r="B101" s="18">
        <f>B94-B100</f>
        <v>-24943.270000000004</v>
      </c>
      <c r="C101" s="18">
        <f>C94-C100</f>
        <v>-39314.979999999996</v>
      </c>
      <c r="D101" s="19">
        <f>IFERROR((((B101-C101)/IF(C101&lt;0,-1*C101,C101))*100),"")</f>
        <v>36.555302838765257</v>
      </c>
    </row>
    <row r="102" spans="1:4" x14ac:dyDescent="0.3">
      <c r="A102" s="8" t="s">
        <v>90</v>
      </c>
      <c r="B102" s="18">
        <f>B90+B101</f>
        <v>53001.569999999905</v>
      </c>
      <c r="C102" s="18">
        <f>C90+C101</f>
        <v>60357.719999999987</v>
      </c>
      <c r="D102" s="19">
        <f>IFERROR((((B102-C102)/IF(C102&lt;0,-1*C102,C102))*100),"")</f>
        <v>-12.187587602712766</v>
      </c>
    </row>
    <row r="106" spans="1:4" ht="15.6" customHeight="1" x14ac:dyDescent="0.3">
      <c r="A106" s="1" t="s">
        <v>204</v>
      </c>
      <c r="B106" s="4"/>
      <c r="C106" s="4"/>
      <c r="D106" s="4"/>
    </row>
  </sheetData>
  <mergeCells count="5">
    <mergeCell ref="A1:D1"/>
    <mergeCell ref="A2:D2"/>
    <mergeCell ref="A3:D3"/>
    <mergeCell ref="B5:D5"/>
    <mergeCell ref="A106:D106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C165-F289-417B-860E-92AE63BD1744}">
  <dimension ref="A1:E9"/>
  <sheetViews>
    <sheetView workbookViewId="0">
      <selection activeCell="H8" sqref="H8"/>
    </sheetView>
  </sheetViews>
  <sheetFormatPr defaultRowHeight="14.4" x14ac:dyDescent="0.3"/>
  <cols>
    <col min="1" max="1" width="9.8984375" style="23" bestFit="1" customWidth="1"/>
    <col min="2" max="2" width="12.59765625" style="23" bestFit="1" customWidth="1"/>
    <col min="3" max="3" width="18.8984375" style="23" bestFit="1" customWidth="1"/>
    <col min="4" max="4" width="10.59765625" style="23" bestFit="1" customWidth="1"/>
    <col min="5" max="5" width="10.3984375" style="23" bestFit="1" customWidth="1"/>
    <col min="6" max="16384" width="8.796875" style="23"/>
  </cols>
  <sheetData>
    <row r="1" spans="1:5" x14ac:dyDescent="0.3">
      <c r="A1" s="26"/>
      <c r="B1" s="26" t="s">
        <v>117</v>
      </c>
      <c r="C1" s="26" t="s">
        <v>116</v>
      </c>
      <c r="D1" s="26" t="s">
        <v>115</v>
      </c>
      <c r="E1" s="26"/>
    </row>
    <row r="2" spans="1:5" ht="15.6" x14ac:dyDescent="0.3">
      <c r="A2" s="26" t="s">
        <v>114</v>
      </c>
      <c r="B2" s="30">
        <f>'Square YTD'!G2+'Square YTD'!G3+'Square YTD'!G6</f>
        <v>4455</v>
      </c>
      <c r="C2" s="24">
        <f>4853.16+1167.8-1360</f>
        <v>4660.96</v>
      </c>
      <c r="D2" s="29">
        <f>B2-C2</f>
        <v>-205.96000000000004</v>
      </c>
      <c r="E2" s="26"/>
    </row>
    <row r="3" spans="1:5" ht="15.6" x14ac:dyDescent="0.3">
      <c r="A3" s="26" t="s">
        <v>113</v>
      </c>
      <c r="B3" s="30">
        <f>'Square YTD'!G5</f>
        <v>7481.71</v>
      </c>
      <c r="C3" s="24">
        <f>9037.68-1356.21</f>
        <v>7681.47</v>
      </c>
      <c r="D3" s="29">
        <f>B3-C3</f>
        <v>-199.76000000000022</v>
      </c>
      <c r="E3" s="26"/>
    </row>
    <row r="4" spans="1:5" ht="15.6" x14ac:dyDescent="0.3">
      <c r="A4" s="26" t="s">
        <v>112</v>
      </c>
      <c r="B4" s="30">
        <f>'Square YTD'!G4+'Wodify YTD'!D2</f>
        <v>10319.5</v>
      </c>
      <c r="C4" s="24">
        <v>11214.43</v>
      </c>
      <c r="D4" s="29">
        <f>B4-C4</f>
        <v>-894.93000000000029</v>
      </c>
      <c r="E4" s="26"/>
    </row>
    <row r="5" spans="1:5" ht="15.6" x14ac:dyDescent="0.3">
      <c r="A5" s="26" t="s">
        <v>8</v>
      </c>
      <c r="B5" s="24">
        <f>'Wodify YTD'!D3+'Wodify YTD'!D4</f>
        <v>369758.83</v>
      </c>
      <c r="C5" s="24">
        <f>8680+247702.04+23256+2850.01+87504.52</f>
        <v>369992.57000000007</v>
      </c>
      <c r="D5" s="28">
        <f>B5-C5</f>
        <v>-233.74000000004889</v>
      </c>
      <c r="E5" s="24"/>
    </row>
    <row r="6" spans="1:5" ht="15.6" x14ac:dyDescent="0.3">
      <c r="A6" s="26" t="s">
        <v>111</v>
      </c>
      <c r="B6" s="24"/>
      <c r="C6" s="24"/>
      <c r="D6" s="28"/>
      <c r="E6" s="24"/>
    </row>
    <row r="7" spans="1:5" ht="15.6" x14ac:dyDescent="0.3">
      <c r="A7" s="26"/>
      <c r="B7" s="24"/>
      <c r="C7" s="24"/>
      <c r="D7" s="24"/>
      <c r="E7" s="24"/>
    </row>
    <row r="8" spans="1:5" x14ac:dyDescent="0.3">
      <c r="A8" s="26"/>
      <c r="B8" s="27">
        <f>SUM(B2:B7)</f>
        <v>392015.04000000004</v>
      </c>
      <c r="C8" s="27">
        <f>SUM(C2:C7)</f>
        <v>393549.43000000005</v>
      </c>
      <c r="D8" s="27">
        <f>B8-C8</f>
        <v>-1534.390000000014</v>
      </c>
      <c r="E8" s="26"/>
    </row>
    <row r="9" spans="1:5" ht="15.6" x14ac:dyDescent="0.3">
      <c r="B9" s="25"/>
      <c r="D9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506D-7242-40C0-9327-25F5DBE78FC3}">
  <dimension ref="A1:H6"/>
  <sheetViews>
    <sheetView workbookViewId="0">
      <selection activeCell="H8" sqref="H8"/>
    </sheetView>
  </sheetViews>
  <sheetFormatPr defaultRowHeight="14.4" x14ac:dyDescent="0.3"/>
  <cols>
    <col min="1" max="1" width="19.3984375" style="23" bestFit="1" customWidth="1"/>
    <col min="2" max="2" width="8.3984375" style="23" bestFit="1" customWidth="1"/>
    <col min="3" max="3" width="9.3984375" style="23" bestFit="1" customWidth="1"/>
    <col min="4" max="4" width="12.3984375" style="23" bestFit="1" customWidth="1"/>
    <col min="5" max="5" width="7" style="23" bestFit="1" customWidth="1"/>
    <col min="6" max="6" width="15.3984375" style="23" bestFit="1" customWidth="1"/>
    <col min="7" max="7" width="8.796875" style="23" bestFit="1" customWidth="1"/>
    <col min="8" max="8" width="7.3984375" style="23" bestFit="1" customWidth="1"/>
    <col min="9" max="16384" width="8.796875" style="23"/>
  </cols>
  <sheetData>
    <row r="1" spans="1:8" x14ac:dyDescent="0.3">
      <c r="A1" s="23" t="s">
        <v>128</v>
      </c>
      <c r="B1" s="23" t="s">
        <v>127</v>
      </c>
      <c r="C1" s="23" t="s">
        <v>126</v>
      </c>
      <c r="D1" s="23" t="s">
        <v>125</v>
      </c>
      <c r="E1" s="23" t="s">
        <v>11</v>
      </c>
      <c r="F1" s="23" t="s">
        <v>124</v>
      </c>
      <c r="G1" s="23" t="s">
        <v>123</v>
      </c>
      <c r="H1" s="23" t="s">
        <v>122</v>
      </c>
    </row>
    <row r="2" spans="1:8" x14ac:dyDescent="0.3">
      <c r="A2" s="23" t="s">
        <v>121</v>
      </c>
      <c r="B2" s="23">
        <v>35</v>
      </c>
      <c r="C2" s="25">
        <v>454</v>
      </c>
      <c r="D2" s="23">
        <v>0</v>
      </c>
      <c r="E2" s="25">
        <v>0</v>
      </c>
      <c r="F2" s="25">
        <v>0</v>
      </c>
      <c r="G2" s="25">
        <v>454</v>
      </c>
      <c r="H2" s="25">
        <v>41.92</v>
      </c>
    </row>
    <row r="3" spans="1:8" x14ac:dyDescent="0.3">
      <c r="A3" s="23" t="s">
        <v>120</v>
      </c>
      <c r="B3" s="23">
        <v>164</v>
      </c>
      <c r="C3" s="25">
        <v>3695</v>
      </c>
      <c r="D3" s="23">
        <v>0</v>
      </c>
      <c r="E3" s="25">
        <v>0</v>
      </c>
      <c r="F3" s="25">
        <v>0</v>
      </c>
      <c r="G3" s="25">
        <v>3695</v>
      </c>
      <c r="H3" s="25">
        <v>341.69</v>
      </c>
    </row>
    <row r="4" spans="1:8" x14ac:dyDescent="0.3">
      <c r="A4" s="23" t="s">
        <v>112</v>
      </c>
      <c r="B4" s="23">
        <v>155</v>
      </c>
      <c r="C4" s="25">
        <v>4297</v>
      </c>
      <c r="D4" s="23">
        <v>0</v>
      </c>
      <c r="E4" s="25">
        <v>0</v>
      </c>
      <c r="F4" s="25">
        <v>0</v>
      </c>
      <c r="G4" s="25">
        <v>4297</v>
      </c>
      <c r="H4" s="25">
        <v>20.28</v>
      </c>
    </row>
    <row r="5" spans="1:8" x14ac:dyDescent="0.3">
      <c r="A5" s="23" t="s">
        <v>119</v>
      </c>
      <c r="B5" s="23">
        <v>2031</v>
      </c>
      <c r="C5" s="25">
        <v>7520.71</v>
      </c>
      <c r="D5" s="23">
        <v>-1</v>
      </c>
      <c r="E5" s="25">
        <v>-39</v>
      </c>
      <c r="F5" s="25">
        <v>0</v>
      </c>
      <c r="G5" s="25">
        <v>7481.71</v>
      </c>
      <c r="H5" s="25">
        <v>691.56</v>
      </c>
    </row>
    <row r="6" spans="1:8" x14ac:dyDescent="0.3">
      <c r="A6" s="23" t="s">
        <v>118</v>
      </c>
      <c r="B6" s="23">
        <v>9</v>
      </c>
      <c r="C6" s="25">
        <v>306</v>
      </c>
      <c r="D6" s="23">
        <v>0</v>
      </c>
      <c r="E6" s="25">
        <v>0</v>
      </c>
      <c r="F6" s="25">
        <v>0</v>
      </c>
      <c r="G6" s="25">
        <v>306</v>
      </c>
      <c r="H6" s="25">
        <v>28.28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0E22-B5EE-4379-9426-D1EC587B34B9}">
  <dimension ref="A1:D4"/>
  <sheetViews>
    <sheetView workbookViewId="0">
      <pane ySplit="1" topLeftCell="A2" activePane="bottomLeft" state="frozen"/>
      <selection activeCell="H8" sqref="H8"/>
      <selection pane="bottomLeft" activeCell="H8" sqref="H8"/>
    </sheetView>
  </sheetViews>
  <sheetFormatPr defaultRowHeight="14.4" x14ac:dyDescent="0.3"/>
  <cols>
    <col min="1" max="1" width="18.19921875" style="31" customWidth="1"/>
    <col min="2" max="2" width="20.8984375" style="31" customWidth="1"/>
    <col min="3" max="3" width="14.3984375" style="31" customWidth="1"/>
    <col min="4" max="4" width="13.8984375" style="31" customWidth="1"/>
    <col min="5" max="16384" width="8.796875" style="31"/>
  </cols>
  <sheetData>
    <row r="1" spans="1:4" x14ac:dyDescent="0.3">
      <c r="A1" s="31" t="s">
        <v>135</v>
      </c>
      <c r="B1" s="31" t="s">
        <v>134</v>
      </c>
      <c r="C1" s="31" t="s">
        <v>133</v>
      </c>
      <c r="D1" s="31" t="s">
        <v>132</v>
      </c>
    </row>
    <row r="2" spans="1:4" x14ac:dyDescent="0.3">
      <c r="A2" s="31" t="s">
        <v>131</v>
      </c>
      <c r="B2" s="31" t="s">
        <v>0</v>
      </c>
      <c r="C2" s="32">
        <v>228</v>
      </c>
      <c r="D2" s="32">
        <v>6022.5</v>
      </c>
    </row>
    <row r="3" spans="1:4" x14ac:dyDescent="0.3">
      <c r="A3" s="31" t="s">
        <v>130</v>
      </c>
      <c r="B3" s="31" t="s">
        <v>0</v>
      </c>
      <c r="C3" s="32">
        <v>2376</v>
      </c>
      <c r="D3" s="32">
        <v>365965.83</v>
      </c>
    </row>
    <row r="4" spans="1:4" x14ac:dyDescent="0.3">
      <c r="A4" s="31" t="s">
        <v>129</v>
      </c>
      <c r="B4" s="31" t="s">
        <v>0</v>
      </c>
      <c r="C4" s="32">
        <v>24</v>
      </c>
      <c r="D4" s="32">
        <v>3793</v>
      </c>
    </row>
  </sheetData>
  <autoFilter ref="A1: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Balance Sheet</vt:lpstr>
      <vt:lpstr>P&amp;L</vt:lpstr>
      <vt:lpstr>YTD P&amp;L YOY</vt:lpstr>
      <vt:lpstr>2026 YTD Summary</vt:lpstr>
      <vt:lpstr>Square YTD</vt:lpstr>
      <vt:lpstr>Wodify YTD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Amanda Green</cp:lastModifiedBy>
  <dcterms:created xsi:type="dcterms:W3CDTF">2022-03-24T08:55:57Z</dcterms:created>
  <dcterms:modified xsi:type="dcterms:W3CDTF">2026-07-09T18:47:41Z</dcterms:modified>
  <cp:category/>
</cp:coreProperties>
</file>