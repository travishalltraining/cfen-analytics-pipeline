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gre\Desktop\Clients\CFEN\Financials\2026\"/>
    </mc:Choice>
  </mc:AlternateContent>
  <xr:revisionPtr revIDLastSave="0" documentId="13_ncr:1_{18220801-0273-44CD-A538-936450F393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&amp;L" sheetId="1" r:id="rId1"/>
    <sheet name="YTD YOY P&amp;L" sheetId="2" r:id="rId2"/>
    <sheet name="Balance 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3" l="1"/>
  <c r="C69" i="3"/>
  <c r="B69" i="3"/>
  <c r="D55" i="3"/>
  <c r="C55" i="3"/>
  <c r="B55" i="3"/>
  <c r="C50" i="3"/>
  <c r="B50" i="3"/>
  <c r="D48" i="3"/>
  <c r="D50" i="3" s="1"/>
  <c r="C48" i="3"/>
  <c r="B48" i="3"/>
  <c r="D43" i="3"/>
  <c r="C43" i="3"/>
  <c r="B43" i="3"/>
  <c r="D37" i="3"/>
  <c r="D51" i="3" s="1"/>
  <c r="D56" i="3" s="1"/>
  <c r="D70" i="3" s="1"/>
  <c r="C37" i="3"/>
  <c r="C51" i="3" s="1"/>
  <c r="C56" i="3" s="1"/>
  <c r="C70" i="3" s="1"/>
  <c r="B37" i="3"/>
  <c r="B51" i="3" s="1"/>
  <c r="B56" i="3" s="1"/>
  <c r="B70" i="3" s="1"/>
  <c r="D30" i="3"/>
  <c r="C30" i="3"/>
  <c r="B30" i="3"/>
  <c r="D25" i="3"/>
  <c r="C25" i="3"/>
  <c r="D24" i="3"/>
  <c r="C24" i="3"/>
  <c r="B24" i="3"/>
  <c r="B25" i="3" s="1"/>
  <c r="C17" i="3"/>
  <c r="C31" i="3" s="1"/>
  <c r="B17" i="3"/>
  <c r="D16" i="3"/>
  <c r="D17" i="3" s="1"/>
  <c r="D31" i="3" s="1"/>
  <c r="C16" i="3"/>
  <c r="B16" i="3"/>
  <c r="D11" i="3"/>
  <c r="C11" i="3"/>
  <c r="B11" i="3"/>
  <c r="D8" i="2"/>
  <c r="D9" i="2"/>
  <c r="D11" i="2"/>
  <c r="D12" i="2"/>
  <c r="D14" i="2"/>
  <c r="D15" i="2"/>
  <c r="D16" i="2"/>
  <c r="D17" i="2"/>
  <c r="B18" i="2"/>
  <c r="D18" i="2" s="1"/>
  <c r="C18" i="2"/>
  <c r="D20" i="2"/>
  <c r="C21" i="2"/>
  <c r="D21" i="2" s="1"/>
  <c r="B22" i="2"/>
  <c r="C22" i="2"/>
  <c r="D24" i="2"/>
  <c r="D26" i="2"/>
  <c r="D27" i="2"/>
  <c r="B28" i="2"/>
  <c r="D28" i="2" s="1"/>
  <c r="C28" i="2"/>
  <c r="D31" i="2"/>
  <c r="D32" i="2"/>
  <c r="B33" i="2"/>
  <c r="C33" i="2"/>
  <c r="D35" i="2"/>
  <c r="D36" i="2"/>
  <c r="D37" i="2"/>
  <c r="D38" i="2"/>
  <c r="B39" i="2"/>
  <c r="C39" i="2"/>
  <c r="C60" i="2" s="1"/>
  <c r="C80" i="2" s="1"/>
  <c r="D40" i="2"/>
  <c r="D41" i="2"/>
  <c r="D42" i="2"/>
  <c r="D43" i="2"/>
  <c r="D45" i="2"/>
  <c r="B46" i="2"/>
  <c r="C46" i="2"/>
  <c r="D47" i="2"/>
  <c r="D48" i="2"/>
  <c r="D50" i="2"/>
  <c r="D51" i="2"/>
  <c r="B52" i="2"/>
  <c r="D52" i="2" s="1"/>
  <c r="C52" i="2"/>
  <c r="D53" i="2"/>
  <c r="D54" i="2"/>
  <c r="B55" i="2"/>
  <c r="D55" i="2" s="1"/>
  <c r="C55" i="2"/>
  <c r="D56" i="2"/>
  <c r="D57" i="2"/>
  <c r="D58" i="2"/>
  <c r="B59" i="2"/>
  <c r="C59" i="2"/>
  <c r="D59" i="2"/>
  <c r="D62" i="2"/>
  <c r="D63" i="2"/>
  <c r="D66" i="2"/>
  <c r="D67" i="2"/>
  <c r="D72" i="2"/>
  <c r="B73" i="2"/>
  <c r="D73" i="2" s="1"/>
  <c r="C73" i="2"/>
  <c r="D76" i="2"/>
  <c r="D77" i="2"/>
  <c r="B78" i="2"/>
  <c r="D78" i="2" s="1"/>
  <c r="C78" i="2"/>
  <c r="D79" i="2"/>
  <c r="D83" i="2"/>
  <c r="B84" i="2"/>
  <c r="C84" i="2"/>
  <c r="D84" i="2"/>
  <c r="D86" i="2"/>
  <c r="D88" i="2"/>
  <c r="B89" i="2"/>
  <c r="B90" i="2" s="1"/>
  <c r="C89" i="2"/>
  <c r="C90" i="2" s="1"/>
  <c r="E83" i="1"/>
  <c r="D82" i="1"/>
  <c r="B82" i="1"/>
  <c r="C81" i="1"/>
  <c r="C82" i="1" s="1"/>
  <c r="E80" i="1"/>
  <c r="E78" i="1"/>
  <c r="D76" i="1"/>
  <c r="C76" i="1"/>
  <c r="E76" i="1" s="1"/>
  <c r="B76" i="1"/>
  <c r="E75" i="1"/>
  <c r="E73" i="1"/>
  <c r="D71" i="1"/>
  <c r="C71" i="1"/>
  <c r="E71" i="1" s="1"/>
  <c r="B71" i="1"/>
  <c r="E70" i="1"/>
  <c r="E69" i="1"/>
  <c r="E68" i="1"/>
  <c r="D66" i="1"/>
  <c r="C66" i="1"/>
  <c r="B66" i="1"/>
  <c r="E66" i="1" s="1"/>
  <c r="E65" i="1"/>
  <c r="E64" i="1"/>
  <c r="E63" i="1"/>
  <c r="E62" i="1"/>
  <c r="E61" i="1"/>
  <c r="E60" i="1"/>
  <c r="E59" i="1"/>
  <c r="E58" i="1"/>
  <c r="E57" i="1"/>
  <c r="E56" i="1"/>
  <c r="D53" i="1"/>
  <c r="C53" i="1"/>
  <c r="B53" i="1"/>
  <c r="E53" i="1" s="1"/>
  <c r="E52" i="1"/>
  <c r="E50" i="1"/>
  <c r="D49" i="1"/>
  <c r="C49" i="1"/>
  <c r="B49" i="1"/>
  <c r="E49" i="1" s="1"/>
  <c r="E48" i="1"/>
  <c r="E47" i="1"/>
  <c r="D46" i="1"/>
  <c r="C46" i="1"/>
  <c r="B46" i="1"/>
  <c r="E46" i="1" s="1"/>
  <c r="E45" i="1"/>
  <c r="E44" i="1"/>
  <c r="E43" i="1"/>
  <c r="E42" i="1"/>
  <c r="D41" i="1"/>
  <c r="C41" i="1"/>
  <c r="E41" i="1" s="1"/>
  <c r="E40" i="1"/>
  <c r="E39" i="1"/>
  <c r="E38" i="1"/>
  <c r="E37" i="1"/>
  <c r="E36" i="1"/>
  <c r="E35" i="1"/>
  <c r="D34" i="1"/>
  <c r="D54" i="1" s="1"/>
  <c r="C34" i="1"/>
  <c r="C54" i="1" s="1"/>
  <c r="B34" i="1"/>
  <c r="E34" i="1" s="1"/>
  <c r="E33" i="1"/>
  <c r="E32" i="1"/>
  <c r="E30" i="1"/>
  <c r="D28" i="1"/>
  <c r="C28" i="1"/>
  <c r="C72" i="1" s="1"/>
  <c r="B28" i="1"/>
  <c r="E28" i="1" s="1"/>
  <c r="E27" i="1"/>
  <c r="E26" i="1"/>
  <c r="D24" i="1"/>
  <c r="C24" i="1"/>
  <c r="B24" i="1"/>
  <c r="E23" i="1"/>
  <c r="E22" i="1"/>
  <c r="E21" i="1"/>
  <c r="E20" i="1"/>
  <c r="D17" i="1"/>
  <c r="C17" i="1"/>
  <c r="B17" i="1"/>
  <c r="E17" i="1" s="1"/>
  <c r="E16" i="1"/>
  <c r="E15" i="1"/>
  <c r="E14" i="1"/>
  <c r="E13" i="1"/>
  <c r="E12" i="1"/>
  <c r="E11" i="1"/>
  <c r="E10" i="1"/>
  <c r="E9" i="1"/>
  <c r="E8" i="1"/>
  <c r="E7" i="1"/>
  <c r="B31" i="3" l="1"/>
  <c r="D90" i="2"/>
  <c r="D89" i="2"/>
  <c r="D39" i="2"/>
  <c r="D22" i="2"/>
  <c r="D46" i="2"/>
  <c r="C81" i="2"/>
  <c r="C91" i="2"/>
  <c r="B91" i="2"/>
  <c r="D91" i="2" s="1"/>
  <c r="D33" i="2"/>
  <c r="B60" i="2"/>
  <c r="E82" i="1"/>
  <c r="D72" i="1"/>
  <c r="B54" i="1"/>
  <c r="E54" i="1" s="1"/>
  <c r="E24" i="1"/>
  <c r="E81" i="1"/>
  <c r="C92" i="2" l="1"/>
  <c r="D60" i="2"/>
  <c r="B80" i="2"/>
  <c r="B72" i="1"/>
  <c r="E72" i="1" s="1"/>
  <c r="D80" i="2" l="1"/>
  <c r="B81" i="2"/>
  <c r="D81" i="2" l="1"/>
  <c r="B92" i="2"/>
  <c r="D92" i="2" s="1"/>
</calcChain>
</file>

<file path=xl/sharedStrings.xml><?xml version="1.0" encoding="utf-8"?>
<sst xmlns="http://schemas.openxmlformats.org/spreadsheetml/2006/main" count="278" uniqueCount="170">
  <si>
    <t>Profit and Loss</t>
  </si>
  <si>
    <t>CrossFit East Nashville</t>
  </si>
  <si>
    <t>January 1-March 31, 2026</t>
  </si>
  <si>
    <t>Income</t>
  </si>
  <si>
    <t>Apparel Sales</t>
  </si>
  <si>
    <t>Drop In Sales</t>
  </si>
  <si>
    <t>Elements Training</t>
  </si>
  <si>
    <t>Membership</t>
  </si>
  <si>
    <t>Mobile Private Training</t>
  </si>
  <si>
    <t>Personal Training</t>
  </si>
  <si>
    <t>Refunds</t>
  </si>
  <si>
    <t>Rental Income</t>
  </si>
  <si>
    <t>Semi Private Training</t>
  </si>
  <si>
    <t>Vending Sales</t>
  </si>
  <si>
    <t>Total for Income</t>
  </si>
  <si>
    <t>Gross Profit</t>
  </si>
  <si>
    <t>Expenses</t>
  </si>
  <si>
    <t>Advertising &amp; marketing</t>
  </si>
  <si>
    <t>Media</t>
  </si>
  <si>
    <t>Photography &amp; Videography</t>
  </si>
  <si>
    <t>Website ads</t>
  </si>
  <si>
    <t>Total for Advertising &amp; marketing</t>
  </si>
  <si>
    <t>Crossfit Expenses</t>
  </si>
  <si>
    <t>Coaches Attire</t>
  </si>
  <si>
    <t>Gym Equipment</t>
  </si>
  <si>
    <t>Total for Crossfit Expenses</t>
  </si>
  <si>
    <t>General business expenses</t>
  </si>
  <si>
    <t>Accounting fees</t>
  </si>
  <si>
    <t>Bank fees &amp; service charges</t>
  </si>
  <si>
    <t>Square Fees</t>
  </si>
  <si>
    <t>Wodify Fees</t>
  </si>
  <si>
    <t>Total for Bank fees &amp; service charges</t>
  </si>
  <si>
    <t>Business licenses</t>
  </si>
  <si>
    <t>Cleaning Expense</t>
  </si>
  <si>
    <t>Gifts</t>
  </si>
  <si>
    <t>Insurance</t>
  </si>
  <si>
    <t>Meals</t>
  </si>
  <si>
    <t>Team meals</t>
  </si>
  <si>
    <t>Total for Meals</t>
  </si>
  <si>
    <t>Memberships &amp; subscriptions</t>
  </si>
  <si>
    <t>Office expenses</t>
  </si>
  <si>
    <t>Office supplies</t>
  </si>
  <si>
    <t>Software &amp; apps</t>
  </si>
  <si>
    <t>Total for Office expenses</t>
  </si>
  <si>
    <t>Rent</t>
  </si>
  <si>
    <t>Equipment rental</t>
  </si>
  <si>
    <t>Total for Rent</t>
  </si>
  <si>
    <t>Repairs &amp; maintenance</t>
  </si>
  <si>
    <t>Utilities</t>
  </si>
  <si>
    <t>Internet &amp; TV services</t>
  </si>
  <si>
    <t>Total for Utilities</t>
  </si>
  <si>
    <t>Total for General business expenses</t>
  </si>
  <si>
    <t>Payroll expenses</t>
  </si>
  <si>
    <t>Administrative Pay</t>
  </si>
  <si>
    <t>Coaching Pay</t>
  </si>
  <si>
    <t>Commissions</t>
  </si>
  <si>
    <t>Contract labor</t>
  </si>
  <si>
    <t>Elements/Intros Pay</t>
  </si>
  <si>
    <t>Mobile Pay</t>
  </si>
  <si>
    <t>Payroll Fees</t>
  </si>
  <si>
    <t>Payroll taxes</t>
  </si>
  <si>
    <t>Salaries &amp; wages</t>
  </si>
  <si>
    <t>Stipend</t>
  </si>
  <si>
    <t>Total for Payroll expenses</t>
  </si>
  <si>
    <t>Supplies</t>
  </si>
  <si>
    <t>Apparel Supplies</t>
  </si>
  <si>
    <t>Gym Supplies</t>
  </si>
  <si>
    <t>Vending Supplies</t>
  </si>
  <si>
    <t>Total for Supplies</t>
  </si>
  <si>
    <t>Total for Expenses</t>
  </si>
  <si>
    <t>Net Operating Income</t>
  </si>
  <si>
    <t>Other Income</t>
  </si>
  <si>
    <t>Interest earned</t>
  </si>
  <si>
    <t>Total for Other Income</t>
  </si>
  <si>
    <t>Other Expenses</t>
  </si>
  <si>
    <t>Business loan interest</t>
  </si>
  <si>
    <t>Vehicle expenses</t>
  </si>
  <si>
    <t>Parking &amp; tolls</t>
  </si>
  <si>
    <t>Total for Vehicle expenses</t>
  </si>
  <si>
    <t>Total for Other Expenses</t>
  </si>
  <si>
    <t>Net Other Income</t>
  </si>
  <si>
    <t>Net Income</t>
  </si>
  <si>
    <t/>
  </si>
  <si>
    <t>Jan 2026</t>
  </si>
  <si>
    <t>Feb 2026</t>
  </si>
  <si>
    <t>Mar 2026</t>
  </si>
  <si>
    <t>Total</t>
  </si>
  <si>
    <t>Accrual Basis Thursday, April 09, 2026 02:41 AM GMTZ</t>
  </si>
  <si>
    <t>No more Rental Income</t>
  </si>
  <si>
    <t>Floor Scrubber</t>
  </si>
  <si>
    <t>Pest Control &amp; Vizpin Security systems</t>
  </si>
  <si>
    <t>Accrual Basis Thursday, April 09, 2026 02:42 AM GMTZ</t>
  </si>
  <si>
    <t>Travel for Events</t>
  </si>
  <si>
    <t>Platinum Pay</t>
  </si>
  <si>
    <t>Shipping &amp; postage</t>
  </si>
  <si>
    <t>Hosted Events</t>
  </si>
  <si>
    <t>Total for Cost of Goods Sold</t>
  </si>
  <si>
    <t>Cost of goods sold</t>
  </si>
  <si>
    <t>Cost of Goods Sold</t>
  </si>
  <si>
    <t>% Change (PY YTD)</t>
  </si>
  <si>
    <t>Jan 1 - Mar 31 2025 (PY YTD)</t>
  </si>
  <si>
    <t>Jan 1 - Mar 31 2026</t>
  </si>
  <si>
    <t>Total for Liabilities and Equity</t>
  </si>
  <si>
    <t>Total for Equity</t>
  </si>
  <si>
    <t>Retained Earnings</t>
  </si>
  <si>
    <t>Steven Longcrier</t>
  </si>
  <si>
    <t>Robert Clifton</t>
  </si>
  <si>
    <t>Opening balance equity</t>
  </si>
  <si>
    <t>Jon &amp; Jordyn Schumm</t>
  </si>
  <si>
    <t>Jay Lee</t>
  </si>
  <si>
    <t>Demi Maslowski</t>
  </si>
  <si>
    <t>Christian Longcrier</t>
  </si>
  <si>
    <t>Brett Lee</t>
  </si>
  <si>
    <t>Bob Elrod</t>
  </si>
  <si>
    <t>Equity</t>
  </si>
  <si>
    <t>Total for Liabilities</t>
  </si>
  <si>
    <t>Total for Long-term Liabilities</t>
  </si>
  <si>
    <t>Long-term loans from partners</t>
  </si>
  <si>
    <t>Long-term business loans</t>
  </si>
  <si>
    <t>Long-term Liabilities</t>
  </si>
  <si>
    <t>Total for Current Liabilities</t>
  </si>
  <si>
    <t>Total for Other Current Liabilities</t>
  </si>
  <si>
    <t>Sales tax to pay</t>
  </si>
  <si>
    <t>Total for Payroll wages and tax to pay</t>
  </si>
  <si>
    <t>Payroll tax to pay</t>
  </si>
  <si>
    <t>Payroll wages and tax to pay</t>
  </si>
  <si>
    <t>Accrued Expenses</t>
  </si>
  <si>
    <t>Other Current Liabilities</t>
  </si>
  <si>
    <t>Total for Credit Cards</t>
  </si>
  <si>
    <t>REAL ESTATE-COMML (5068) - 1</t>
  </si>
  <si>
    <t>J. SCHUMM (6299) - 2</t>
  </si>
  <si>
    <t>Jordyn (6273) - 2</t>
  </si>
  <si>
    <t>C. LONGCRIER (6281) - 2</t>
  </si>
  <si>
    <t>Credit Cards</t>
  </si>
  <si>
    <t>Total for Accounts Payable</t>
  </si>
  <si>
    <t>Accounts Payable (A/P)</t>
  </si>
  <si>
    <t>Accounts Payable</t>
  </si>
  <si>
    <t>Current Liabilities</t>
  </si>
  <si>
    <t>Liabilities</t>
  </si>
  <si>
    <t>Liabilities and Equity</t>
  </si>
  <si>
    <t>Total for Assets</t>
  </si>
  <si>
    <t>Total for Other Assets</t>
  </si>
  <si>
    <t>Security deposits</t>
  </si>
  <si>
    <t>Goodwill</t>
  </si>
  <si>
    <t>Loan Fees</t>
  </si>
  <si>
    <t>Other Assets</t>
  </si>
  <si>
    <t>Total for Fixed Assets</t>
  </si>
  <si>
    <t>Total for Improvements</t>
  </si>
  <si>
    <t>Gym Improvements</t>
  </si>
  <si>
    <t>Improvements</t>
  </si>
  <si>
    <t>Equipment</t>
  </si>
  <si>
    <t>Accumulated depreciation</t>
  </si>
  <si>
    <t>Accumulated amortization</t>
  </si>
  <si>
    <t>Fixed Assets</t>
  </si>
  <si>
    <t>Total for Current Assets</t>
  </si>
  <si>
    <t>Total for Other Current Assets</t>
  </si>
  <si>
    <t>Inventory Asset</t>
  </si>
  <si>
    <t>Prepaid expenses</t>
  </si>
  <si>
    <t>Payments to deposit</t>
  </si>
  <si>
    <t>Other Current Assets</t>
  </si>
  <si>
    <t>Total for Bank Accounts</t>
  </si>
  <si>
    <t>Live Oak Bank</t>
  </si>
  <si>
    <t>Checking (7608)</t>
  </si>
  <si>
    <t>Bank Accounts</t>
  </si>
  <si>
    <t>Current Assets</t>
  </si>
  <si>
    <t>Assets</t>
  </si>
  <si>
    <t>As of Mar 31, 2026</t>
  </si>
  <si>
    <t>Balance Sheet</t>
  </si>
  <si>
    <t>Accrual Basis Thursday, April 09, 2026 03:20 AM GMTZ</t>
  </si>
  <si>
    <t>No cleaners?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</si>
</sst>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#,##0.00\%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27">
    <xf numFmtId="0" fontId="0" fillId="0" borderId="0" xfId="0"/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 indent="3"/>
    </xf>
    <xf numFmtId="0" fontId="3" fillId="0" borderId="0" xfId="0" applyFont="1" applyAlignment="1">
      <alignment horizontal="left" wrapText="1" indent="2"/>
    </xf>
    <xf numFmtId="0" fontId="0" fillId="0" borderId="0" xfId="0" applyAlignment="1">
      <alignment wrapText="1"/>
    </xf>
    <xf numFmtId="0" fontId="4" fillId="0" borderId="1" xfId="1" applyFont="1" applyAlignment="1">
      <alignment horizontal="center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wrapText="1"/>
    </xf>
    <xf numFmtId="4" fontId="3" fillId="0" borderId="2" xfId="0" applyNumberFormat="1" applyFont="1" applyBorder="1" applyAlignment="1">
      <alignment wrapText="1"/>
    </xf>
    <xf numFmtId="164" fontId="3" fillId="0" borderId="2" xfId="0" applyNumberFormat="1" applyFont="1" applyBorder="1" applyAlignment="1">
      <alignment wrapText="1"/>
    </xf>
    <xf numFmtId="165" fontId="3" fillId="0" borderId="2" xfId="0" applyNumberFormat="1" applyFont="1" applyBorder="1" applyAlignment="1">
      <alignment wrapText="1"/>
    </xf>
    <xf numFmtId="165" fontId="2" fillId="0" borderId="0" xfId="0" applyNumberFormat="1" applyFont="1" applyAlignment="1">
      <alignment wrapText="1"/>
    </xf>
    <xf numFmtId="0" fontId="0" fillId="0" borderId="1" xfId="0" applyBorder="1" applyAlignment="1">
      <alignment wrapText="1"/>
    </xf>
    <xf numFmtId="0" fontId="4" fillId="0" borderId="1" xfId="1" applyFont="1" applyAlignment="1">
      <alignment horizontal="center" wrapText="1"/>
    </xf>
    <xf numFmtId="0" fontId="3" fillId="0" borderId="0" xfId="0" applyFont="1" applyAlignment="1">
      <alignment horizontal="left" wrapText="1" indent="3"/>
    </xf>
    <xf numFmtId="0" fontId="2" fillId="0" borderId="0" xfId="0" applyFont="1" applyAlignment="1">
      <alignment horizontal="left" wrapText="1" indent="4"/>
    </xf>
    <xf numFmtId="0" fontId="3" fillId="0" borderId="0" xfId="0" applyFont="1" applyAlignment="1">
      <alignment horizontal="left" wrapText="1" indent="4"/>
    </xf>
    <xf numFmtId="0" fontId="2" fillId="0" borderId="0" xfId="0" applyFont="1" applyAlignment="1">
      <alignment horizontal="left" wrapText="1" indent="5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G88"/>
  <sheetViews>
    <sheetView tabSelected="1" topLeftCell="A64" workbookViewId="0">
      <selection activeCell="D84" sqref="D84"/>
    </sheetView>
  </sheetViews>
  <sheetFormatPr defaultColWidth="11.296875" defaultRowHeight="15.6" x14ac:dyDescent="0.3"/>
  <cols>
    <col min="1" max="1" width="32.3984375" style="13" customWidth="1"/>
    <col min="2" max="2" width="16.09765625" style="13" customWidth="1"/>
    <col min="3" max="3" width="15.19921875" style="13" customWidth="1"/>
    <col min="4" max="5" width="16.09765625" style="13" customWidth="1"/>
  </cols>
  <sheetData>
    <row r="1" spans="1:7" x14ac:dyDescent="0.3">
      <c r="A1" s="5" t="s">
        <v>0</v>
      </c>
      <c r="B1" s="4"/>
      <c r="C1" s="4"/>
      <c r="D1" s="4"/>
      <c r="E1" s="4"/>
    </row>
    <row r="2" spans="1:7" x14ac:dyDescent="0.3">
      <c r="A2" s="3" t="s">
        <v>1</v>
      </c>
      <c r="B2" s="4"/>
      <c r="C2" s="4"/>
      <c r="D2" s="4"/>
      <c r="E2" s="4"/>
    </row>
    <row r="3" spans="1:7" x14ac:dyDescent="0.3">
      <c r="A3" s="2" t="s">
        <v>2</v>
      </c>
      <c r="B3" s="4"/>
      <c r="C3" s="4"/>
      <c r="D3" s="4"/>
      <c r="E3" s="4"/>
    </row>
    <row r="5" spans="1:7" x14ac:dyDescent="0.3">
      <c r="A5" s="14" t="s">
        <v>82</v>
      </c>
      <c r="B5" s="14" t="s">
        <v>83</v>
      </c>
      <c r="C5" s="14" t="s">
        <v>84</v>
      </c>
      <c r="D5" s="14" t="s">
        <v>85</v>
      </c>
      <c r="E5" s="14" t="s">
        <v>86</v>
      </c>
    </row>
    <row r="6" spans="1:7" x14ac:dyDescent="0.3">
      <c r="A6" s="6" t="s">
        <v>3</v>
      </c>
      <c r="B6" s="15"/>
      <c r="C6" s="15"/>
      <c r="D6" s="15"/>
    </row>
    <row r="7" spans="1:7" x14ac:dyDescent="0.3">
      <c r="A7" s="7" t="s">
        <v>4</v>
      </c>
      <c r="B7" s="16">
        <v>233.14</v>
      </c>
      <c r="C7" s="16">
        <v>1019.2</v>
      </c>
      <c r="D7" s="16">
        <v>727.51</v>
      </c>
      <c r="E7" s="16">
        <f t="shared" ref="E7:E17" si="0">B7+C7+D7</f>
        <v>1979.8500000000001</v>
      </c>
    </row>
    <row r="8" spans="1:7" x14ac:dyDescent="0.3">
      <c r="A8" s="7" t="s">
        <v>5</v>
      </c>
      <c r="B8" s="16">
        <v>1063</v>
      </c>
      <c r="C8" s="16">
        <v>1216.5</v>
      </c>
      <c r="D8" s="16">
        <v>1989.24</v>
      </c>
      <c r="E8" s="16">
        <f t="shared" si="0"/>
        <v>4268.74</v>
      </c>
    </row>
    <row r="9" spans="1:7" x14ac:dyDescent="0.3">
      <c r="A9" s="7" t="s">
        <v>6</v>
      </c>
      <c r="B9" s="16">
        <v>2025</v>
      </c>
      <c r="C9" s="16">
        <v>675</v>
      </c>
      <c r="D9" s="16">
        <v>2455</v>
      </c>
      <c r="E9" s="16">
        <f t="shared" si="0"/>
        <v>5155</v>
      </c>
    </row>
    <row r="10" spans="1:7" x14ac:dyDescent="0.3">
      <c r="A10" s="7" t="s">
        <v>7</v>
      </c>
      <c r="B10" s="16">
        <v>38637.19</v>
      </c>
      <c r="C10" s="16">
        <v>39019.839999999997</v>
      </c>
      <c r="D10" s="16">
        <v>42431.31</v>
      </c>
      <c r="E10" s="16">
        <f t="shared" si="0"/>
        <v>120088.34</v>
      </c>
    </row>
    <row r="11" spans="1:7" x14ac:dyDescent="0.3">
      <c r="A11" s="7" t="s">
        <v>8</v>
      </c>
      <c r="B11" s="16">
        <v>2376</v>
      </c>
      <c r="C11" s="16">
        <v>5376</v>
      </c>
      <c r="D11" s="16">
        <v>5376</v>
      </c>
      <c r="E11" s="16">
        <f t="shared" si="0"/>
        <v>13128</v>
      </c>
    </row>
    <row r="12" spans="1:7" x14ac:dyDescent="0.3">
      <c r="A12" s="7" t="s">
        <v>9</v>
      </c>
      <c r="B12" s="16">
        <v>396</v>
      </c>
      <c r="C12" s="16">
        <v>564.66999999999996</v>
      </c>
      <c r="D12" s="16">
        <v>564.66999999999996</v>
      </c>
      <c r="E12" s="16">
        <f t="shared" si="0"/>
        <v>1525.34</v>
      </c>
    </row>
    <row r="13" spans="1:7" x14ac:dyDescent="0.3">
      <c r="A13" s="7" t="s">
        <v>10</v>
      </c>
      <c r="B13" s="16">
        <v>-346.28</v>
      </c>
      <c r="C13" s="16">
        <v>-1030.55</v>
      </c>
      <c r="D13" s="16">
        <v>-1063.52</v>
      </c>
      <c r="E13" s="16">
        <f t="shared" si="0"/>
        <v>-2440.35</v>
      </c>
    </row>
    <row r="14" spans="1:7" x14ac:dyDescent="0.3">
      <c r="A14" s="7" t="s">
        <v>11</v>
      </c>
      <c r="B14" s="16">
        <v>750</v>
      </c>
      <c r="C14" s="16">
        <v>1750</v>
      </c>
      <c r="D14" s="15"/>
      <c r="E14" s="16">
        <f t="shared" si="0"/>
        <v>2500</v>
      </c>
      <c r="G14" t="s">
        <v>88</v>
      </c>
    </row>
    <row r="15" spans="1:7" x14ac:dyDescent="0.3">
      <c r="A15" s="7" t="s">
        <v>12</v>
      </c>
      <c r="B15" s="16">
        <v>8927.2999999999993</v>
      </c>
      <c r="C15" s="16">
        <v>13261.88</v>
      </c>
      <c r="D15" s="16">
        <v>16933.5</v>
      </c>
      <c r="E15" s="16">
        <f t="shared" si="0"/>
        <v>39122.68</v>
      </c>
    </row>
    <row r="16" spans="1:7" x14ac:dyDescent="0.3">
      <c r="A16" s="7" t="s">
        <v>13</v>
      </c>
      <c r="B16" s="16">
        <v>1127.3800000000001</v>
      </c>
      <c r="C16" s="16">
        <v>1062.51</v>
      </c>
      <c r="D16" s="16">
        <v>1497.18</v>
      </c>
      <c r="E16" s="16">
        <f t="shared" si="0"/>
        <v>3687.0700000000006</v>
      </c>
    </row>
    <row r="17" spans="1:7" x14ac:dyDescent="0.3">
      <c r="A17" s="8" t="s">
        <v>14</v>
      </c>
      <c r="B17" s="17">
        <f>B7+B8+B9+B10+B11+B12+B13+B14+B15+B16</f>
        <v>55188.73</v>
      </c>
      <c r="C17" s="17">
        <f>C7+C8+C9+C10+C11+C12+C13+C14+C15+C16</f>
        <v>62915.049999999988</v>
      </c>
      <c r="D17" s="17">
        <f>D7+D8+D9+D10+D11+D12+D13+D14+D15+D16</f>
        <v>70910.889999999985</v>
      </c>
      <c r="E17" s="18">
        <f t="shared" si="0"/>
        <v>189014.66999999998</v>
      </c>
    </row>
    <row r="18" spans="1:7" x14ac:dyDescent="0.3">
      <c r="A18" s="8" t="s">
        <v>15</v>
      </c>
      <c r="B18" s="17">
        <v>55188.73</v>
      </c>
      <c r="C18" s="17">
        <v>62915.049999999988</v>
      </c>
      <c r="D18" s="17">
        <v>70910.889999999985</v>
      </c>
      <c r="E18" s="18">
        <v>189014.66999999998</v>
      </c>
    </row>
    <row r="19" spans="1:7" x14ac:dyDescent="0.3">
      <c r="A19" s="6" t="s">
        <v>16</v>
      </c>
      <c r="B19" s="15"/>
      <c r="C19" s="15"/>
      <c r="D19" s="15"/>
    </row>
    <row r="20" spans="1:7" x14ac:dyDescent="0.3">
      <c r="A20" s="7" t="s">
        <v>17</v>
      </c>
      <c r="B20" s="16">
        <v>1670.61</v>
      </c>
      <c r="C20" s="16">
        <v>1660.14</v>
      </c>
      <c r="D20" s="16">
        <v>1670.5</v>
      </c>
      <c r="E20" s="16">
        <f>B20+C20+D20</f>
        <v>5001.25</v>
      </c>
    </row>
    <row r="21" spans="1:7" x14ac:dyDescent="0.3">
      <c r="A21" s="9" t="s">
        <v>18</v>
      </c>
      <c r="B21" s="16">
        <v>420</v>
      </c>
      <c r="C21" s="16">
        <v>540</v>
      </c>
      <c r="D21" s="16">
        <v>1060</v>
      </c>
      <c r="E21" s="16">
        <f>B21+C21+D21</f>
        <v>2020</v>
      </c>
    </row>
    <row r="22" spans="1:7" x14ac:dyDescent="0.3">
      <c r="A22" s="9" t="s">
        <v>19</v>
      </c>
      <c r="B22" s="16">
        <v>250</v>
      </c>
      <c r="C22" s="16">
        <v>900</v>
      </c>
      <c r="D22" s="16">
        <v>1350</v>
      </c>
      <c r="E22" s="16">
        <f>B22+C22+D22</f>
        <v>2500</v>
      </c>
    </row>
    <row r="23" spans="1:7" x14ac:dyDescent="0.3">
      <c r="A23" s="9" t="s">
        <v>20</v>
      </c>
      <c r="B23" s="16">
        <v>1605.68</v>
      </c>
      <c r="C23" s="16">
        <v>1177.77</v>
      </c>
      <c r="D23" s="16">
        <v>1929.13</v>
      </c>
      <c r="E23" s="16">
        <f>B23+C23+D23</f>
        <v>4712.58</v>
      </c>
    </row>
    <row r="24" spans="1:7" x14ac:dyDescent="0.3">
      <c r="A24" s="10" t="s">
        <v>21</v>
      </c>
      <c r="B24" s="17">
        <f>B20+B21+B22+B23</f>
        <v>3946.29</v>
      </c>
      <c r="C24" s="17">
        <f>C20+C21+C22+C23</f>
        <v>4277.91</v>
      </c>
      <c r="D24" s="17">
        <f>D20+D21+D22+D23</f>
        <v>6009.63</v>
      </c>
      <c r="E24" s="18">
        <f>B24+C24+D24</f>
        <v>14233.830000000002</v>
      </c>
    </row>
    <row r="25" spans="1:7" x14ac:dyDescent="0.3">
      <c r="A25" s="7" t="s">
        <v>22</v>
      </c>
      <c r="B25" s="15"/>
      <c r="C25" s="15"/>
      <c r="D25" s="15"/>
      <c r="E25" s="15"/>
    </row>
    <row r="26" spans="1:7" x14ac:dyDescent="0.3">
      <c r="A26" s="9" t="s">
        <v>23</v>
      </c>
      <c r="B26" s="15"/>
      <c r="C26" s="16">
        <v>49.43</v>
      </c>
      <c r="D26" s="15"/>
      <c r="E26" s="16">
        <f>B26+C26+D26</f>
        <v>49.43</v>
      </c>
    </row>
    <row r="27" spans="1:7" x14ac:dyDescent="0.3">
      <c r="A27" s="9" t="s">
        <v>24</v>
      </c>
      <c r="B27" s="16">
        <v>982.21</v>
      </c>
      <c r="C27" s="16">
        <v>825.23</v>
      </c>
      <c r="D27" s="16">
        <v>6795</v>
      </c>
      <c r="E27" s="16">
        <f>B27+C27+D27</f>
        <v>8602.44</v>
      </c>
      <c r="G27" t="s">
        <v>89</v>
      </c>
    </row>
    <row r="28" spans="1:7" x14ac:dyDescent="0.3">
      <c r="A28" s="10" t="s">
        <v>25</v>
      </c>
      <c r="B28" s="17">
        <f>B25+B26+B27</f>
        <v>982.21</v>
      </c>
      <c r="C28" s="17">
        <f>C25+C26+C27</f>
        <v>874.66</v>
      </c>
      <c r="D28" s="17">
        <f>D25+D26+D27</f>
        <v>6795</v>
      </c>
      <c r="E28" s="18">
        <f>B28+C28+D28</f>
        <v>8651.869999999999</v>
      </c>
    </row>
    <row r="29" spans="1:7" x14ac:dyDescent="0.3">
      <c r="A29" s="7" t="s">
        <v>26</v>
      </c>
      <c r="B29" s="15"/>
      <c r="C29" s="15"/>
      <c r="D29" s="15"/>
      <c r="E29" s="15"/>
    </row>
    <row r="30" spans="1:7" x14ac:dyDescent="0.3">
      <c r="A30" s="9" t="s">
        <v>27</v>
      </c>
      <c r="B30" s="16">
        <v>825</v>
      </c>
      <c r="C30" s="16">
        <v>825</v>
      </c>
      <c r="D30" s="16">
        <v>825</v>
      </c>
      <c r="E30" s="16">
        <f>B30+C30+D30</f>
        <v>2475</v>
      </c>
    </row>
    <row r="31" spans="1:7" x14ac:dyDescent="0.3">
      <c r="A31" s="9" t="s">
        <v>28</v>
      </c>
      <c r="B31" s="15"/>
      <c r="C31" s="15"/>
      <c r="D31" s="15"/>
      <c r="E31" s="15"/>
    </row>
    <row r="32" spans="1:7" x14ac:dyDescent="0.3">
      <c r="A32" s="11" t="s">
        <v>29</v>
      </c>
      <c r="B32" s="16">
        <v>76.819999999999993</v>
      </c>
      <c r="C32" s="16">
        <v>73.73</v>
      </c>
      <c r="D32" s="16">
        <v>127.13</v>
      </c>
      <c r="E32" s="16">
        <f t="shared" ref="E32:E50" si="1">B32+C32+D32</f>
        <v>277.68</v>
      </c>
    </row>
    <row r="33" spans="1:7" x14ac:dyDescent="0.3">
      <c r="A33" s="11" t="s">
        <v>30</v>
      </c>
      <c r="B33" s="16">
        <v>15.1</v>
      </c>
      <c r="C33" s="16">
        <v>40.22</v>
      </c>
      <c r="D33" s="16">
        <v>26.2</v>
      </c>
      <c r="E33" s="16">
        <f t="shared" si="1"/>
        <v>81.52</v>
      </c>
    </row>
    <row r="34" spans="1:7" x14ac:dyDescent="0.3">
      <c r="A34" s="12" t="s">
        <v>31</v>
      </c>
      <c r="B34" s="17">
        <f>B31+B32+B33</f>
        <v>91.919999999999987</v>
      </c>
      <c r="C34" s="17">
        <f>C31+C32+C33</f>
        <v>113.95</v>
      </c>
      <c r="D34" s="17">
        <f>D31+D32+D33</f>
        <v>153.32999999999998</v>
      </c>
      <c r="E34" s="18">
        <f t="shared" si="1"/>
        <v>359.2</v>
      </c>
    </row>
    <row r="35" spans="1:7" x14ac:dyDescent="0.3">
      <c r="A35" s="9" t="s">
        <v>32</v>
      </c>
      <c r="B35" s="15"/>
      <c r="C35" s="15"/>
      <c r="D35" s="16">
        <v>307.05</v>
      </c>
      <c r="E35" s="16">
        <f t="shared" si="1"/>
        <v>307.05</v>
      </c>
    </row>
    <row r="36" spans="1:7" x14ac:dyDescent="0.3">
      <c r="A36" s="9" t="s">
        <v>33</v>
      </c>
      <c r="B36" s="16">
        <v>966.41</v>
      </c>
      <c r="C36" s="16">
        <v>966.41</v>
      </c>
      <c r="D36" s="15"/>
      <c r="E36" s="16">
        <f t="shared" si="1"/>
        <v>1932.82</v>
      </c>
      <c r="G36" t="s">
        <v>169</v>
      </c>
    </row>
    <row r="37" spans="1:7" x14ac:dyDescent="0.3">
      <c r="A37" s="9" t="s">
        <v>34</v>
      </c>
      <c r="B37" s="16">
        <v>1180.5999999999999</v>
      </c>
      <c r="C37" s="15"/>
      <c r="D37" s="16">
        <v>219.5</v>
      </c>
      <c r="E37" s="16">
        <f t="shared" si="1"/>
        <v>1400.1</v>
      </c>
    </row>
    <row r="38" spans="1:7" x14ac:dyDescent="0.3">
      <c r="A38" s="9" t="s">
        <v>35</v>
      </c>
      <c r="B38" s="16">
        <v>863.14</v>
      </c>
      <c r="C38" s="16">
        <v>863.14</v>
      </c>
      <c r="D38" s="16">
        <v>863.14</v>
      </c>
      <c r="E38" s="16">
        <f t="shared" si="1"/>
        <v>2589.42</v>
      </c>
    </row>
    <row r="39" spans="1:7" x14ac:dyDescent="0.3">
      <c r="A39" s="9" t="s">
        <v>36</v>
      </c>
      <c r="B39" s="15"/>
      <c r="C39" s="15"/>
      <c r="D39" s="16">
        <v>14</v>
      </c>
      <c r="E39" s="16">
        <f t="shared" si="1"/>
        <v>14</v>
      </c>
    </row>
    <row r="40" spans="1:7" x14ac:dyDescent="0.3">
      <c r="A40" s="11" t="s">
        <v>37</v>
      </c>
      <c r="B40" s="15"/>
      <c r="C40" s="16">
        <v>4482.62</v>
      </c>
      <c r="D40" s="15"/>
      <c r="E40" s="16">
        <f t="shared" si="1"/>
        <v>4482.62</v>
      </c>
    </row>
    <row r="41" spans="1:7" x14ac:dyDescent="0.3">
      <c r="A41" s="12" t="s">
        <v>38</v>
      </c>
      <c r="B41" s="17"/>
      <c r="C41" s="17">
        <f>C39+C40</f>
        <v>4482.62</v>
      </c>
      <c r="D41" s="17">
        <f>D39+D40</f>
        <v>14</v>
      </c>
      <c r="E41" s="18">
        <f t="shared" si="1"/>
        <v>4496.62</v>
      </c>
    </row>
    <row r="42" spans="1:7" x14ac:dyDescent="0.3">
      <c r="A42" s="9" t="s">
        <v>39</v>
      </c>
      <c r="B42" s="16">
        <v>1271.3599999999999</v>
      </c>
      <c r="C42" s="16">
        <v>1287.76</v>
      </c>
      <c r="D42" s="16">
        <v>1761.06</v>
      </c>
      <c r="E42" s="16">
        <f t="shared" si="1"/>
        <v>4320.18</v>
      </c>
    </row>
    <row r="43" spans="1:7" x14ac:dyDescent="0.3">
      <c r="A43" s="9" t="s">
        <v>40</v>
      </c>
      <c r="B43" s="16">
        <v>150</v>
      </c>
      <c r="C43" s="16">
        <v>150</v>
      </c>
      <c r="D43" s="16">
        <v>479.25</v>
      </c>
      <c r="E43" s="16">
        <f t="shared" si="1"/>
        <v>779.25</v>
      </c>
      <c r="G43" t="s">
        <v>90</v>
      </c>
    </row>
    <row r="44" spans="1:7" x14ac:dyDescent="0.3">
      <c r="A44" s="11" t="s">
        <v>41</v>
      </c>
      <c r="B44" s="16">
        <v>114.99</v>
      </c>
      <c r="C44" s="15"/>
      <c r="D44" s="15"/>
      <c r="E44" s="16">
        <f t="shared" si="1"/>
        <v>114.99</v>
      </c>
    </row>
    <row r="45" spans="1:7" x14ac:dyDescent="0.3">
      <c r="A45" s="11" t="s">
        <v>42</v>
      </c>
      <c r="B45" s="16">
        <v>436.59</v>
      </c>
      <c r="C45" s="16">
        <v>72.39</v>
      </c>
      <c r="D45" s="16">
        <v>522.25</v>
      </c>
      <c r="E45" s="16">
        <f t="shared" si="1"/>
        <v>1031.23</v>
      </c>
    </row>
    <row r="46" spans="1:7" x14ac:dyDescent="0.3">
      <c r="A46" s="12" t="s">
        <v>43</v>
      </c>
      <c r="B46" s="17">
        <f>B43+B44+B45</f>
        <v>701.57999999999993</v>
      </c>
      <c r="C46" s="17">
        <f>C43+C44+C45</f>
        <v>222.39</v>
      </c>
      <c r="D46" s="17">
        <f>D43+D44+D45</f>
        <v>1001.5</v>
      </c>
      <c r="E46" s="18">
        <f t="shared" si="1"/>
        <v>1925.4699999999998</v>
      </c>
    </row>
    <row r="47" spans="1:7" x14ac:dyDescent="0.3">
      <c r="A47" s="9" t="s">
        <v>44</v>
      </c>
      <c r="B47" s="16">
        <v>13333</v>
      </c>
      <c r="C47" s="16">
        <v>13333</v>
      </c>
      <c r="D47" s="16">
        <v>13333</v>
      </c>
      <c r="E47" s="16">
        <f t="shared" si="1"/>
        <v>39999</v>
      </c>
    </row>
    <row r="48" spans="1:7" x14ac:dyDescent="0.3">
      <c r="A48" s="11" t="s">
        <v>45</v>
      </c>
      <c r="B48" s="16">
        <v>155.79</v>
      </c>
      <c r="C48" s="16">
        <v>155.79</v>
      </c>
      <c r="D48" s="16">
        <v>155.79</v>
      </c>
      <c r="E48" s="16">
        <f t="shared" si="1"/>
        <v>467.37</v>
      </c>
    </row>
    <row r="49" spans="1:5" x14ac:dyDescent="0.3">
      <c r="A49" s="12" t="s">
        <v>46</v>
      </c>
      <c r="B49" s="17">
        <f>B47+B48</f>
        <v>13488.79</v>
      </c>
      <c r="C49" s="17">
        <f>C47+C48</f>
        <v>13488.79</v>
      </c>
      <c r="D49" s="17">
        <f>D47+D48</f>
        <v>13488.79</v>
      </c>
      <c r="E49" s="18">
        <f t="shared" si="1"/>
        <v>40466.370000000003</v>
      </c>
    </row>
    <row r="50" spans="1:5" x14ac:dyDescent="0.3">
      <c r="A50" s="9" t="s">
        <v>47</v>
      </c>
      <c r="B50" s="16">
        <v>1108.29</v>
      </c>
      <c r="C50" s="15"/>
      <c r="D50" s="16">
        <v>300</v>
      </c>
      <c r="E50" s="16">
        <f t="shared" si="1"/>
        <v>1408.29</v>
      </c>
    </row>
    <row r="51" spans="1:5" x14ac:dyDescent="0.3">
      <c r="A51" s="9" t="s">
        <v>48</v>
      </c>
      <c r="B51" s="15"/>
      <c r="C51" s="15"/>
      <c r="D51" s="15"/>
      <c r="E51" s="15"/>
    </row>
    <row r="52" spans="1:5" x14ac:dyDescent="0.3">
      <c r="A52" s="11" t="s">
        <v>49</v>
      </c>
      <c r="B52" s="16">
        <v>297.88</v>
      </c>
      <c r="C52" s="16">
        <v>297.88</v>
      </c>
      <c r="D52" s="16">
        <v>297.52</v>
      </c>
      <c r="E52" s="16">
        <f>B52+C52+D52</f>
        <v>893.28</v>
      </c>
    </row>
    <row r="53" spans="1:5" x14ac:dyDescent="0.3">
      <c r="A53" s="12" t="s">
        <v>50</v>
      </c>
      <c r="B53" s="17">
        <f>B51+B52</f>
        <v>297.88</v>
      </c>
      <c r="C53" s="17">
        <f>C51+C52</f>
        <v>297.88</v>
      </c>
      <c r="D53" s="17">
        <f>D51+D52</f>
        <v>297.52</v>
      </c>
      <c r="E53" s="18">
        <f>B53+C53+D53</f>
        <v>893.28</v>
      </c>
    </row>
    <row r="54" spans="1:5" x14ac:dyDescent="0.3">
      <c r="A54" s="10" t="s">
        <v>51</v>
      </c>
      <c r="B54" s="17">
        <f>B29+B30+B34+B35+B36+B37+B38+B41+B42+B46+B49+B50+B53</f>
        <v>20794.97</v>
      </c>
      <c r="C54" s="17">
        <f>C29+C30+C34+C35+C36+C37+C38+C41+C42+C46+C49+C50+C53</f>
        <v>22547.94</v>
      </c>
      <c r="D54" s="17">
        <f>D29+D30+D34+D35+D36+D37+D38+D41+D42+D46+D49+D50+D53</f>
        <v>19230.890000000003</v>
      </c>
      <c r="E54" s="18">
        <f>B54+C54+D54</f>
        <v>62573.8</v>
      </c>
    </row>
    <row r="55" spans="1:5" x14ac:dyDescent="0.3">
      <c r="A55" s="7" t="s">
        <v>52</v>
      </c>
      <c r="B55" s="15"/>
      <c r="C55" s="15"/>
      <c r="D55" s="15"/>
      <c r="E55" s="15"/>
    </row>
    <row r="56" spans="1:5" x14ac:dyDescent="0.3">
      <c r="A56" s="9" t="s">
        <v>53</v>
      </c>
      <c r="B56" s="16">
        <v>2675</v>
      </c>
      <c r="C56" s="16">
        <v>1799</v>
      </c>
      <c r="D56" s="16">
        <v>1950</v>
      </c>
      <c r="E56" s="16">
        <f t="shared" ref="E56:E66" si="2">B56+C56+D56</f>
        <v>6424</v>
      </c>
    </row>
    <row r="57" spans="1:5" x14ac:dyDescent="0.3">
      <c r="A57" s="9" t="s">
        <v>54</v>
      </c>
      <c r="B57" s="16">
        <v>4952.5</v>
      </c>
      <c r="C57" s="16">
        <v>5765</v>
      </c>
      <c r="D57" s="16">
        <v>7632.5</v>
      </c>
      <c r="E57" s="16">
        <f t="shared" si="2"/>
        <v>18350</v>
      </c>
    </row>
    <row r="58" spans="1:5" x14ac:dyDescent="0.3">
      <c r="A58" s="9" t="s">
        <v>55</v>
      </c>
      <c r="B58" s="16">
        <v>2047.2</v>
      </c>
      <c r="C58" s="16">
        <v>2557.1999999999998</v>
      </c>
      <c r="D58" s="16">
        <v>2209.3000000000002</v>
      </c>
      <c r="E58" s="16">
        <f t="shared" si="2"/>
        <v>6813.7</v>
      </c>
    </row>
    <row r="59" spans="1:5" x14ac:dyDescent="0.3">
      <c r="A59" s="9" t="s">
        <v>56</v>
      </c>
      <c r="B59" s="16">
        <v>1000</v>
      </c>
      <c r="C59" s="16">
        <v>1000</v>
      </c>
      <c r="D59" s="16">
        <v>1000</v>
      </c>
      <c r="E59" s="16">
        <f t="shared" si="2"/>
        <v>3000</v>
      </c>
    </row>
    <row r="60" spans="1:5" x14ac:dyDescent="0.3">
      <c r="A60" s="9" t="s">
        <v>57</v>
      </c>
      <c r="B60" s="16">
        <v>1175</v>
      </c>
      <c r="C60" s="16">
        <v>867.5</v>
      </c>
      <c r="D60" s="16">
        <v>1180</v>
      </c>
      <c r="E60" s="16">
        <f t="shared" si="2"/>
        <v>3222.5</v>
      </c>
    </row>
    <row r="61" spans="1:5" x14ac:dyDescent="0.3">
      <c r="A61" s="9" t="s">
        <v>58</v>
      </c>
      <c r="B61" s="16">
        <v>4100.8</v>
      </c>
      <c r="C61" s="16">
        <v>3982.4</v>
      </c>
      <c r="D61" s="16">
        <v>3388</v>
      </c>
      <c r="E61" s="16">
        <f t="shared" si="2"/>
        <v>11471.2</v>
      </c>
    </row>
    <row r="62" spans="1:5" x14ac:dyDescent="0.3">
      <c r="A62" s="9" t="s">
        <v>59</v>
      </c>
      <c r="B62" s="16">
        <v>259.37</v>
      </c>
      <c r="C62" s="16">
        <v>60.37</v>
      </c>
      <c r="D62" s="16">
        <v>198.66</v>
      </c>
      <c r="E62" s="16">
        <f t="shared" si="2"/>
        <v>518.4</v>
      </c>
    </row>
    <row r="63" spans="1:5" x14ac:dyDescent="0.3">
      <c r="A63" s="9" t="s">
        <v>60</v>
      </c>
      <c r="B63" s="16">
        <v>623.03</v>
      </c>
      <c r="C63" s="16">
        <v>550.46</v>
      </c>
      <c r="D63" s="16">
        <v>546.26</v>
      </c>
      <c r="E63" s="16">
        <f t="shared" si="2"/>
        <v>1719.75</v>
      </c>
    </row>
    <row r="64" spans="1:5" x14ac:dyDescent="0.3">
      <c r="A64" s="9" t="s">
        <v>61</v>
      </c>
      <c r="B64" s="16">
        <v>4834.28</v>
      </c>
      <c r="C64" s="16">
        <v>4583.34</v>
      </c>
      <c r="D64" s="16">
        <v>4583.34</v>
      </c>
      <c r="E64" s="16">
        <f t="shared" si="2"/>
        <v>14000.96</v>
      </c>
    </row>
    <row r="65" spans="1:5" x14ac:dyDescent="0.3">
      <c r="A65" s="9" t="s">
        <v>62</v>
      </c>
      <c r="B65" s="16">
        <v>250</v>
      </c>
      <c r="C65" s="16">
        <v>250</v>
      </c>
      <c r="D65" s="16">
        <v>250</v>
      </c>
      <c r="E65" s="16">
        <f t="shared" si="2"/>
        <v>750</v>
      </c>
    </row>
    <row r="66" spans="1:5" x14ac:dyDescent="0.3">
      <c r="A66" s="10" t="s">
        <v>63</v>
      </c>
      <c r="B66" s="17">
        <f>B55+B56+B57+B58+B59+B60+B61+B62+B63+B64+B65</f>
        <v>21917.18</v>
      </c>
      <c r="C66" s="17">
        <f>C55+C56+C57+C58+C59+C60+C61+C62+C63+C64+C65</f>
        <v>21415.27</v>
      </c>
      <c r="D66" s="17">
        <f>D55+D56+D57+D58+D59+D60+D61+D62+D63+D64+D65</f>
        <v>22938.059999999998</v>
      </c>
      <c r="E66" s="18">
        <f t="shared" si="2"/>
        <v>66270.509999999995</v>
      </c>
    </row>
    <row r="67" spans="1:5" x14ac:dyDescent="0.3">
      <c r="A67" s="7" t="s">
        <v>64</v>
      </c>
      <c r="B67" s="15"/>
      <c r="C67" s="15"/>
      <c r="D67" s="15"/>
      <c r="E67" s="15"/>
    </row>
    <row r="68" spans="1:5" x14ac:dyDescent="0.3">
      <c r="A68" s="9" t="s">
        <v>65</v>
      </c>
      <c r="B68" s="15"/>
      <c r="C68" s="16">
        <v>881.75</v>
      </c>
      <c r="D68" s="16">
        <v>13.13</v>
      </c>
      <c r="E68" s="16">
        <f t="shared" ref="E68:E73" si="3">B68+C68+D68</f>
        <v>894.88</v>
      </c>
    </row>
    <row r="69" spans="1:5" x14ac:dyDescent="0.3">
      <c r="A69" s="9" t="s">
        <v>66</v>
      </c>
      <c r="B69" s="16">
        <v>1917.19</v>
      </c>
      <c r="C69" s="16">
        <v>1373.9</v>
      </c>
      <c r="D69" s="16">
        <v>1865.34</v>
      </c>
      <c r="E69" s="16">
        <f t="shared" si="3"/>
        <v>5156.43</v>
      </c>
    </row>
    <row r="70" spans="1:5" x14ac:dyDescent="0.3">
      <c r="A70" s="9" t="s">
        <v>67</v>
      </c>
      <c r="B70" s="16">
        <v>713.5</v>
      </c>
      <c r="C70" s="16">
        <v>1659.96</v>
      </c>
      <c r="D70" s="16">
        <v>349.94</v>
      </c>
      <c r="E70" s="16">
        <f t="shared" si="3"/>
        <v>2723.4</v>
      </c>
    </row>
    <row r="71" spans="1:5" x14ac:dyDescent="0.3">
      <c r="A71" s="10" t="s">
        <v>68</v>
      </c>
      <c r="B71" s="17">
        <f>B67+B68+B69+B70</f>
        <v>2630.69</v>
      </c>
      <c r="C71" s="17">
        <f>C67+C68+C69+C70</f>
        <v>3915.61</v>
      </c>
      <c r="D71" s="17">
        <f>D67+D68+D69+D70</f>
        <v>2228.41</v>
      </c>
      <c r="E71" s="18">
        <f t="shared" si="3"/>
        <v>8774.7099999999991</v>
      </c>
    </row>
    <row r="72" spans="1:5" x14ac:dyDescent="0.3">
      <c r="A72" s="8" t="s">
        <v>69</v>
      </c>
      <c r="B72" s="17">
        <f>B24+B28+B54+B66+B71</f>
        <v>50271.340000000004</v>
      </c>
      <c r="C72" s="17">
        <f>C24+C28+C54+C66+C71</f>
        <v>53031.39</v>
      </c>
      <c r="D72" s="17">
        <f>D24+D28+D54+D66+D71</f>
        <v>57201.990000000005</v>
      </c>
      <c r="E72" s="18">
        <f t="shared" si="3"/>
        <v>160504.72000000003</v>
      </c>
    </row>
    <row r="73" spans="1:5" x14ac:dyDescent="0.3">
      <c r="A73" s="8" t="s">
        <v>70</v>
      </c>
      <c r="B73" s="17">
        <v>4917.3899999999994</v>
      </c>
      <c r="C73" s="17">
        <v>9883.6599999999889</v>
      </c>
      <c r="D73" s="17">
        <v>13708.89999999998</v>
      </c>
      <c r="E73" s="18">
        <f t="shared" si="3"/>
        <v>28509.949999999968</v>
      </c>
    </row>
    <row r="74" spans="1:5" x14ac:dyDescent="0.3">
      <c r="A74" s="6" t="s">
        <v>71</v>
      </c>
      <c r="B74" s="15"/>
      <c r="C74" s="15"/>
      <c r="D74" s="15"/>
    </row>
    <row r="75" spans="1:5" x14ac:dyDescent="0.3">
      <c r="A75" s="7" t="s">
        <v>72</v>
      </c>
      <c r="B75" s="16">
        <v>232.28</v>
      </c>
      <c r="C75" s="16">
        <v>244.44</v>
      </c>
      <c r="D75" s="16">
        <v>292.3</v>
      </c>
      <c r="E75" s="16">
        <f>B75+C75+D75</f>
        <v>769.02</v>
      </c>
    </row>
    <row r="76" spans="1:5" x14ac:dyDescent="0.3">
      <c r="A76" s="8" t="s">
        <v>73</v>
      </c>
      <c r="B76" s="17">
        <f>B75</f>
        <v>232.28</v>
      </c>
      <c r="C76" s="17">
        <f>C75</f>
        <v>244.44</v>
      </c>
      <c r="D76" s="17">
        <f>D75</f>
        <v>292.3</v>
      </c>
      <c r="E76" s="18">
        <f>B76+C76+D76</f>
        <v>769.02</v>
      </c>
    </row>
    <row r="77" spans="1:5" x14ac:dyDescent="0.3">
      <c r="A77" s="6" t="s">
        <v>74</v>
      </c>
      <c r="B77" s="15"/>
      <c r="C77" s="15"/>
      <c r="D77" s="15"/>
    </row>
    <row r="78" spans="1:5" x14ac:dyDescent="0.3">
      <c r="A78" s="7" t="s">
        <v>75</v>
      </c>
      <c r="B78" s="16">
        <v>4560.8999999999996</v>
      </c>
      <c r="C78" s="16">
        <v>4546.5</v>
      </c>
      <c r="D78" s="16">
        <v>4093.44</v>
      </c>
      <c r="E78" s="16">
        <f>B78+C78+D78</f>
        <v>13200.84</v>
      </c>
    </row>
    <row r="79" spans="1:5" x14ac:dyDescent="0.3">
      <c r="A79" s="7" t="s">
        <v>76</v>
      </c>
      <c r="B79" s="15"/>
      <c r="C79" s="15"/>
      <c r="D79" s="15"/>
      <c r="E79" s="15"/>
    </row>
    <row r="80" spans="1:5" x14ac:dyDescent="0.3">
      <c r="A80" s="9" t="s">
        <v>77</v>
      </c>
      <c r="B80" s="15"/>
      <c r="C80" s="16">
        <v>33.99</v>
      </c>
      <c r="D80" s="15"/>
      <c r="E80" s="16">
        <f>B80+C80+D80</f>
        <v>33.99</v>
      </c>
    </row>
    <row r="81" spans="1:5" x14ac:dyDescent="0.3">
      <c r="A81" s="10" t="s">
        <v>78</v>
      </c>
      <c r="B81" s="17"/>
      <c r="C81" s="17">
        <f>C79+C80</f>
        <v>33.99</v>
      </c>
      <c r="D81" s="17"/>
      <c r="E81" s="18">
        <f>B81+C81+D81</f>
        <v>33.99</v>
      </c>
    </row>
    <row r="82" spans="1:5" x14ac:dyDescent="0.3">
      <c r="A82" s="8" t="s">
        <v>79</v>
      </c>
      <c r="B82" s="17">
        <f>B78+B81</f>
        <v>4560.8999999999996</v>
      </c>
      <c r="C82" s="17">
        <f>C78+C81</f>
        <v>4580.49</v>
      </c>
      <c r="D82" s="17">
        <f>D78+D81</f>
        <v>4093.44</v>
      </c>
      <c r="E82" s="18">
        <f>B82+C82+D82</f>
        <v>13234.83</v>
      </c>
    </row>
    <row r="83" spans="1:5" x14ac:dyDescent="0.3">
      <c r="A83" s="8" t="s">
        <v>80</v>
      </c>
      <c r="B83" s="17">
        <v>-4328.62</v>
      </c>
      <c r="C83" s="17">
        <v>-4336.05</v>
      </c>
      <c r="D83" s="17">
        <v>-3801.14</v>
      </c>
      <c r="E83" s="18">
        <f>B83+C83+D83</f>
        <v>-12465.81</v>
      </c>
    </row>
    <row r="84" spans="1:5" x14ac:dyDescent="0.3">
      <c r="A84" s="8" t="s">
        <v>81</v>
      </c>
      <c r="B84" s="17">
        <v>588.76999999999953</v>
      </c>
      <c r="C84" s="17">
        <v>5547.6099999999888</v>
      </c>
      <c r="D84" s="17">
        <v>9907.7599999999802</v>
      </c>
      <c r="E84" s="18">
        <v>16044.139999999983</v>
      </c>
    </row>
    <row r="88" spans="1:5" x14ac:dyDescent="0.3">
      <c r="A88" s="1" t="s">
        <v>87</v>
      </c>
      <c r="B88" s="4"/>
      <c r="C88" s="4"/>
      <c r="D88" s="4"/>
      <c r="E88" s="4"/>
    </row>
  </sheetData>
  <mergeCells count="4">
    <mergeCell ref="A1:E1"/>
    <mergeCell ref="A2:E2"/>
    <mergeCell ref="A3:E3"/>
    <mergeCell ref="A88:E88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D458-8790-449B-A1E0-EB94A0F73289}">
  <dimension ref="A1:D96"/>
  <sheetViews>
    <sheetView topLeftCell="A73" workbookViewId="0">
      <selection activeCell="B5" sqref="B5:D5"/>
    </sheetView>
  </sheetViews>
  <sheetFormatPr defaultColWidth="11.296875" defaultRowHeight="15.6" x14ac:dyDescent="0.3"/>
  <cols>
    <col min="1" max="1" width="32.3984375" style="13" customWidth="1"/>
    <col min="2" max="2" width="17" style="13" customWidth="1"/>
    <col min="3" max="3" width="24.69921875" style="13" customWidth="1"/>
    <col min="4" max="4" width="15.19921875" style="13" customWidth="1"/>
  </cols>
  <sheetData>
    <row r="1" spans="1:4" x14ac:dyDescent="0.3">
      <c r="A1" s="5" t="s">
        <v>0</v>
      </c>
      <c r="B1" s="4"/>
      <c r="C1" s="4"/>
      <c r="D1" s="4"/>
    </row>
    <row r="2" spans="1:4" x14ac:dyDescent="0.3">
      <c r="A2" s="3" t="s">
        <v>1</v>
      </c>
      <c r="B2" s="4"/>
      <c r="C2" s="4"/>
      <c r="D2" s="4"/>
    </row>
    <row r="3" spans="1:4" x14ac:dyDescent="0.3">
      <c r="A3" s="2" t="s">
        <v>2</v>
      </c>
      <c r="B3" s="4"/>
      <c r="C3" s="4"/>
      <c r="D3" s="4"/>
    </row>
    <row r="5" spans="1:4" x14ac:dyDescent="0.3">
      <c r="A5" s="14" t="s">
        <v>82</v>
      </c>
      <c r="B5" s="22" t="s">
        <v>86</v>
      </c>
      <c r="C5" s="21"/>
      <c r="D5" s="21"/>
    </row>
    <row r="6" spans="1:4" x14ac:dyDescent="0.3">
      <c r="B6" s="14" t="s">
        <v>101</v>
      </c>
      <c r="C6" s="14" t="s">
        <v>100</v>
      </c>
      <c r="D6" s="14" t="s">
        <v>99</v>
      </c>
    </row>
    <row r="7" spans="1:4" x14ac:dyDescent="0.3">
      <c r="A7" s="6" t="s">
        <v>3</v>
      </c>
    </row>
    <row r="8" spans="1:4" x14ac:dyDescent="0.3">
      <c r="A8" s="7" t="s">
        <v>4</v>
      </c>
      <c r="B8" s="16">
        <v>1979.85</v>
      </c>
      <c r="C8" s="16">
        <v>6572.33</v>
      </c>
      <c r="D8" s="20">
        <f>IFERROR((((B8-C8)/IF(C8&lt;0,-1*C8,C8))*100),"")</f>
        <v>-69.875980055779294</v>
      </c>
    </row>
    <row r="9" spans="1:4" x14ac:dyDescent="0.3">
      <c r="A9" s="7" t="s">
        <v>5</v>
      </c>
      <c r="B9" s="16">
        <v>4268.74</v>
      </c>
      <c r="C9" s="16">
        <v>6535.58</v>
      </c>
      <c r="D9" s="20">
        <f>IFERROR((((B9-C9)/IF(C9&lt;0,-1*C9,C9))*100),"")</f>
        <v>-34.684603355784802</v>
      </c>
    </row>
    <row r="10" spans="1:4" x14ac:dyDescent="0.3">
      <c r="A10" s="7" t="s">
        <v>6</v>
      </c>
      <c r="B10" s="16">
        <v>5155</v>
      </c>
      <c r="C10" s="15"/>
      <c r="D10" s="15" t="s">
        <v>82</v>
      </c>
    </row>
    <row r="11" spans="1:4" x14ac:dyDescent="0.3">
      <c r="A11" s="7" t="s">
        <v>7</v>
      </c>
      <c r="B11" s="16">
        <v>120088.34</v>
      </c>
      <c r="C11" s="16">
        <v>135580.16</v>
      </c>
      <c r="D11" s="20">
        <f>IFERROR((((B11-C11)/IF(C11&lt;0,-1*C11,C11))*100),"")</f>
        <v>-11.426317832933673</v>
      </c>
    </row>
    <row r="12" spans="1:4" x14ac:dyDescent="0.3">
      <c r="A12" s="7" t="s">
        <v>8</v>
      </c>
      <c r="B12" s="16">
        <v>13128</v>
      </c>
      <c r="C12" s="16">
        <v>12504</v>
      </c>
      <c r="D12" s="20">
        <f>IFERROR((((B12-C12)/IF(C12&lt;0,-1*C12,C12))*100),"")</f>
        <v>4.9904030710172744</v>
      </c>
    </row>
    <row r="13" spans="1:4" x14ac:dyDescent="0.3">
      <c r="A13" s="7" t="s">
        <v>9</v>
      </c>
      <c r="B13" s="16">
        <v>1525.34</v>
      </c>
      <c r="C13" s="15"/>
      <c r="D13" s="15" t="s">
        <v>82</v>
      </c>
    </row>
    <row r="14" spans="1:4" x14ac:dyDescent="0.3">
      <c r="A14" s="7" t="s">
        <v>10</v>
      </c>
      <c r="B14" s="16">
        <v>-2440.35</v>
      </c>
      <c r="C14" s="16">
        <v>-2572.62</v>
      </c>
      <c r="D14" s="20">
        <f>IFERROR((((B14-C14)/IF(C14&lt;0,-1*C14,C14))*100),"")</f>
        <v>5.1414511276441903</v>
      </c>
    </row>
    <row r="15" spans="1:4" x14ac:dyDescent="0.3">
      <c r="A15" s="7" t="s">
        <v>11</v>
      </c>
      <c r="B15" s="16">
        <v>2500</v>
      </c>
      <c r="C15" s="16">
        <v>3000</v>
      </c>
      <c r="D15" s="20">
        <f>IFERROR((((B15-C15)/IF(C15&lt;0,-1*C15,C15))*100),"")</f>
        <v>-16.666666666666664</v>
      </c>
    </row>
    <row r="16" spans="1:4" x14ac:dyDescent="0.3">
      <c r="A16" s="7" t="s">
        <v>12</v>
      </c>
      <c r="B16" s="16">
        <v>39122.68</v>
      </c>
      <c r="C16" s="16">
        <v>1147.25</v>
      </c>
      <c r="D16" s="20">
        <f>IFERROR((((B16-C16)/IF(C16&lt;0,-1*C16,C16))*100),"")</f>
        <v>3310.1268250163434</v>
      </c>
    </row>
    <row r="17" spans="1:4" x14ac:dyDescent="0.3">
      <c r="A17" s="7" t="s">
        <v>13</v>
      </c>
      <c r="B17" s="16">
        <v>3687.07</v>
      </c>
      <c r="C17" s="16">
        <v>5869.72</v>
      </c>
      <c r="D17" s="20">
        <f>IFERROR((((B17-C17)/IF(C17&lt;0,-1*C17,C17))*100),"")</f>
        <v>-37.184908309084591</v>
      </c>
    </row>
    <row r="18" spans="1:4" x14ac:dyDescent="0.3">
      <c r="A18" s="8" t="s">
        <v>14</v>
      </c>
      <c r="B18" s="18">
        <f>B8+B9+B10+B11+B12+B13+B14+B15+B16+B17</f>
        <v>189014.66999999998</v>
      </c>
      <c r="C18" s="18">
        <f>C8+C9+C10+C11+C12+C13+C14+C15+C16+C17</f>
        <v>168636.42</v>
      </c>
      <c r="D18" s="19">
        <f>IFERROR((((B18-C18)/IF(C18&lt;0,-1*C18,C18))*100),"")</f>
        <v>12.08413342740552</v>
      </c>
    </row>
    <row r="19" spans="1:4" x14ac:dyDescent="0.3">
      <c r="A19" s="6" t="s">
        <v>98</v>
      </c>
    </row>
    <row r="20" spans="1:4" x14ac:dyDescent="0.3">
      <c r="A20" s="7" t="s">
        <v>97</v>
      </c>
      <c r="B20" s="15"/>
      <c r="C20" s="16">
        <v>1761.84</v>
      </c>
      <c r="D20" s="20">
        <f>IFERROR((((B20-C20)/IF(C20&lt;0,-1*C20,C20))*100),"")</f>
        <v>-100</v>
      </c>
    </row>
    <row r="21" spans="1:4" x14ac:dyDescent="0.3">
      <c r="A21" s="8" t="s">
        <v>96</v>
      </c>
      <c r="B21" s="17"/>
      <c r="C21" s="18">
        <f>C20</f>
        <v>1761.84</v>
      </c>
      <c r="D21" s="19">
        <f>IFERROR((((B21-C21)/IF(C21&lt;0,-1*C21,C21))*100),"")</f>
        <v>-100</v>
      </c>
    </row>
    <row r="22" spans="1:4" x14ac:dyDescent="0.3">
      <c r="A22" s="8" t="s">
        <v>15</v>
      </c>
      <c r="B22" s="18">
        <f>B18-B21</f>
        <v>189014.66999999998</v>
      </c>
      <c r="C22" s="18">
        <f>C18-C21</f>
        <v>166874.58000000002</v>
      </c>
      <c r="D22" s="19">
        <f>IFERROR((((B22-C22)/IF(C22&lt;0,-1*C22,C22))*100),"")</f>
        <v>13.267503055288568</v>
      </c>
    </row>
    <row r="23" spans="1:4" x14ac:dyDescent="0.3">
      <c r="A23" s="6" t="s">
        <v>16</v>
      </c>
    </row>
    <row r="24" spans="1:4" x14ac:dyDescent="0.3">
      <c r="A24" s="7" t="s">
        <v>17</v>
      </c>
      <c r="B24" s="16">
        <v>5001.25</v>
      </c>
      <c r="C24" s="16">
        <v>5793.48</v>
      </c>
      <c r="D24" s="20">
        <f>IFERROR((((B24-C24)/IF(C24&lt;0,-1*C24,C24))*100),"")</f>
        <v>-13.674509966375989</v>
      </c>
    </row>
    <row r="25" spans="1:4" x14ac:dyDescent="0.3">
      <c r="A25" s="9" t="s">
        <v>18</v>
      </c>
      <c r="B25" s="16">
        <v>2020</v>
      </c>
      <c r="C25" s="15"/>
      <c r="D25" s="15" t="s">
        <v>82</v>
      </c>
    </row>
    <row r="26" spans="1:4" x14ac:dyDescent="0.3">
      <c r="A26" s="9" t="s">
        <v>19</v>
      </c>
      <c r="B26" s="16">
        <v>2500</v>
      </c>
      <c r="C26" s="16">
        <v>4230</v>
      </c>
      <c r="D26" s="20">
        <f>IFERROR((((B26-C26)/IF(C26&lt;0,-1*C26,C26))*100),"")</f>
        <v>-40.898345153664302</v>
      </c>
    </row>
    <row r="27" spans="1:4" x14ac:dyDescent="0.3">
      <c r="A27" s="9" t="s">
        <v>20</v>
      </c>
      <c r="B27" s="16">
        <v>4712.58</v>
      </c>
      <c r="C27" s="16">
        <v>1482.91</v>
      </c>
      <c r="D27" s="20">
        <f>IFERROR((((B27-C27)/IF(C27&lt;0,-1*C27,C27))*100),"")</f>
        <v>217.79271837131046</v>
      </c>
    </row>
    <row r="28" spans="1:4" x14ac:dyDescent="0.3">
      <c r="A28" s="10" t="s">
        <v>21</v>
      </c>
      <c r="B28" s="18">
        <f>B24+B25+B26+B27</f>
        <v>14233.83</v>
      </c>
      <c r="C28" s="18">
        <f>C24+C25+C26+C27</f>
        <v>11506.39</v>
      </c>
      <c r="D28" s="19">
        <f>IFERROR((((B28-C28)/IF(C28&lt;0,-1*C28,C28))*100),"")</f>
        <v>23.703698553586317</v>
      </c>
    </row>
    <row r="29" spans="1:4" x14ac:dyDescent="0.3">
      <c r="A29" s="7" t="s">
        <v>22</v>
      </c>
      <c r="B29" s="15"/>
      <c r="C29" s="15"/>
      <c r="D29" s="15" t="s">
        <v>82</v>
      </c>
    </row>
    <row r="30" spans="1:4" x14ac:dyDescent="0.3">
      <c r="A30" s="9" t="s">
        <v>23</v>
      </c>
      <c r="B30" s="16">
        <v>49.43</v>
      </c>
      <c r="C30" s="15"/>
      <c r="D30" s="15" t="s">
        <v>82</v>
      </c>
    </row>
    <row r="31" spans="1:4" x14ac:dyDescent="0.3">
      <c r="A31" s="9" t="s">
        <v>24</v>
      </c>
      <c r="B31" s="16">
        <v>8602.44</v>
      </c>
      <c r="C31" s="16">
        <v>431.11</v>
      </c>
      <c r="D31" s="20">
        <f>IFERROR((((B31-C31)/IF(C31&lt;0,-1*C31,C31))*100),"")</f>
        <v>1895.4164830321729</v>
      </c>
    </row>
    <row r="32" spans="1:4" x14ac:dyDescent="0.3">
      <c r="A32" s="9" t="s">
        <v>95</v>
      </c>
      <c r="B32" s="15"/>
      <c r="C32" s="16">
        <v>1949.2</v>
      </c>
      <c r="D32" s="20">
        <f>IFERROR((((B32-C32)/IF(C32&lt;0,-1*C32,C32))*100),"")</f>
        <v>-100</v>
      </c>
    </row>
    <row r="33" spans="1:4" x14ac:dyDescent="0.3">
      <c r="A33" s="10" t="s">
        <v>25</v>
      </c>
      <c r="B33" s="18">
        <f>B29+B30+B31+B32</f>
        <v>8651.8700000000008</v>
      </c>
      <c r="C33" s="18">
        <f>C29+C30+C31+C32</f>
        <v>2380.31</v>
      </c>
      <c r="D33" s="19">
        <f>IFERROR((((B33-C33)/IF(C33&lt;0,-1*C33,C33))*100),"")</f>
        <v>263.47660598829572</v>
      </c>
    </row>
    <row r="34" spans="1:4" x14ac:dyDescent="0.3">
      <c r="A34" s="7" t="s">
        <v>26</v>
      </c>
      <c r="B34" s="15"/>
      <c r="C34" s="15"/>
      <c r="D34" s="15" t="s">
        <v>82</v>
      </c>
    </row>
    <row r="35" spans="1:4" x14ac:dyDescent="0.3">
      <c r="A35" s="9" t="s">
        <v>27</v>
      </c>
      <c r="B35" s="16">
        <v>2475</v>
      </c>
      <c r="C35" s="16">
        <v>3270</v>
      </c>
      <c r="D35" s="20">
        <f>IFERROR((((B35-C35)/IF(C35&lt;0,-1*C35,C35))*100),"")</f>
        <v>-24.311926605504588</v>
      </c>
    </row>
    <row r="36" spans="1:4" x14ac:dyDescent="0.3">
      <c r="A36" s="9" t="s">
        <v>28</v>
      </c>
      <c r="B36" s="15"/>
      <c r="C36" s="16">
        <v>14.61</v>
      </c>
      <c r="D36" s="20">
        <f>IFERROR((((B36-C36)/IF(C36&lt;0,-1*C36,C36))*100),"")</f>
        <v>-100</v>
      </c>
    </row>
    <row r="37" spans="1:4" x14ac:dyDescent="0.3">
      <c r="A37" s="11" t="s">
        <v>29</v>
      </c>
      <c r="B37" s="16">
        <v>277.68</v>
      </c>
      <c r="C37" s="16">
        <v>499.89</v>
      </c>
      <c r="D37" s="20">
        <f>IFERROR((((B37-C37)/IF(C37&lt;0,-1*C37,C37))*100),"")</f>
        <v>-44.451779391466118</v>
      </c>
    </row>
    <row r="38" spans="1:4" x14ac:dyDescent="0.3">
      <c r="A38" s="11" t="s">
        <v>30</v>
      </c>
      <c r="B38" s="16">
        <v>81.52</v>
      </c>
      <c r="C38" s="16">
        <v>65.150000000000006</v>
      </c>
      <c r="D38" s="20">
        <f>IFERROR((((B38-C38)/IF(C38&lt;0,-1*C38,C38))*100),"")</f>
        <v>25.126630851880261</v>
      </c>
    </row>
    <row r="39" spans="1:4" x14ac:dyDescent="0.3">
      <c r="A39" s="12" t="s">
        <v>31</v>
      </c>
      <c r="B39" s="18">
        <f>B36+B37+B38</f>
        <v>359.2</v>
      </c>
      <c r="C39" s="18">
        <f>C36+C37+C38</f>
        <v>579.65</v>
      </c>
      <c r="D39" s="19">
        <f>IFERROR((((B39-C39)/IF(C39&lt;0,-1*C39,C39))*100),"")</f>
        <v>-38.031570775467955</v>
      </c>
    </row>
    <row r="40" spans="1:4" x14ac:dyDescent="0.3">
      <c r="A40" s="9" t="s">
        <v>32</v>
      </c>
      <c r="B40" s="16">
        <v>307.05</v>
      </c>
      <c r="C40" s="16">
        <v>300</v>
      </c>
      <c r="D40" s="20">
        <f>IFERROR((((B40-C40)/IF(C40&lt;0,-1*C40,C40))*100),"")</f>
        <v>2.3500000000000036</v>
      </c>
    </row>
    <row r="41" spans="1:4" x14ac:dyDescent="0.3">
      <c r="A41" s="9" t="s">
        <v>33</v>
      </c>
      <c r="B41" s="16">
        <v>1932.82</v>
      </c>
      <c r="C41" s="16">
        <v>2899.23</v>
      </c>
      <c r="D41" s="20">
        <f>IFERROR((((B41-C41)/IF(C41&lt;0,-1*C41,C41))*100),"")</f>
        <v>-33.333333333333336</v>
      </c>
    </row>
    <row r="42" spans="1:4" x14ac:dyDescent="0.3">
      <c r="A42" s="9" t="s">
        <v>34</v>
      </c>
      <c r="B42" s="16">
        <v>1400.1</v>
      </c>
      <c r="C42" s="16">
        <v>20</v>
      </c>
      <c r="D42" s="20">
        <f>IFERROR((((B42-C42)/IF(C42&lt;0,-1*C42,C42))*100),"")</f>
        <v>6900.5</v>
      </c>
    </row>
    <row r="43" spans="1:4" x14ac:dyDescent="0.3">
      <c r="A43" s="9" t="s">
        <v>35</v>
      </c>
      <c r="B43" s="16">
        <v>2589.42</v>
      </c>
      <c r="C43" s="16">
        <v>1740.33</v>
      </c>
      <c r="D43" s="20">
        <f>IFERROR((((B43-C43)/IF(C43&lt;0,-1*C43,C43))*100),"")</f>
        <v>48.789022771543337</v>
      </c>
    </row>
    <row r="44" spans="1:4" x14ac:dyDescent="0.3">
      <c r="A44" s="9" t="s">
        <v>36</v>
      </c>
      <c r="B44" s="16">
        <v>14</v>
      </c>
      <c r="C44" s="15"/>
      <c r="D44" s="15" t="s">
        <v>82</v>
      </c>
    </row>
    <row r="45" spans="1:4" x14ac:dyDescent="0.3">
      <c r="A45" s="11" t="s">
        <v>37</v>
      </c>
      <c r="B45" s="16">
        <v>4482.62</v>
      </c>
      <c r="C45" s="16">
        <v>237.23</v>
      </c>
      <c r="D45" s="20">
        <f>IFERROR((((B45-C45)/IF(C45&lt;0,-1*C45,C45))*100),"")</f>
        <v>1789.5670867934075</v>
      </c>
    </row>
    <row r="46" spans="1:4" x14ac:dyDescent="0.3">
      <c r="A46" s="12" t="s">
        <v>38</v>
      </c>
      <c r="B46" s="18">
        <f>B44+B45</f>
        <v>4496.62</v>
      </c>
      <c r="C46" s="18">
        <f>C44+C45</f>
        <v>237.23</v>
      </c>
      <c r="D46" s="19">
        <f>IFERROR((((B46-C46)/IF(C46&lt;0,-1*C46,C46))*100),"")</f>
        <v>1795.468532647642</v>
      </c>
    </row>
    <row r="47" spans="1:4" x14ac:dyDescent="0.3">
      <c r="A47" s="9" t="s">
        <v>39</v>
      </c>
      <c r="B47" s="16">
        <v>4320.18</v>
      </c>
      <c r="C47" s="16">
        <v>3466.51</v>
      </c>
      <c r="D47" s="20">
        <f>IFERROR((((B47-C47)/IF(C47&lt;0,-1*C47,C47))*100),"")</f>
        <v>24.626209069063698</v>
      </c>
    </row>
    <row r="48" spans="1:4" x14ac:dyDescent="0.3">
      <c r="A48" s="9" t="s">
        <v>40</v>
      </c>
      <c r="B48" s="16">
        <v>779.25</v>
      </c>
      <c r="C48" s="16">
        <v>779.38</v>
      </c>
      <c r="D48" s="20">
        <f>IFERROR((((B48-C48)/IF(C48&lt;0,-1*C48,C48))*100),"")</f>
        <v>-1.6679925068643724E-2</v>
      </c>
    </row>
    <row r="49" spans="1:4" x14ac:dyDescent="0.3">
      <c r="A49" s="11" t="s">
        <v>41</v>
      </c>
      <c r="B49" s="16">
        <v>114.99</v>
      </c>
      <c r="C49" s="15"/>
      <c r="D49" s="15" t="s">
        <v>82</v>
      </c>
    </row>
    <row r="50" spans="1:4" x14ac:dyDescent="0.3">
      <c r="A50" s="11" t="s">
        <v>42</v>
      </c>
      <c r="B50" s="16">
        <v>1031.23</v>
      </c>
      <c r="C50" s="16">
        <v>386.97</v>
      </c>
      <c r="D50" s="20">
        <f>IFERROR((((B50-C50)/IF(C50&lt;0,-1*C50,C50))*100),"")</f>
        <v>166.48835827066696</v>
      </c>
    </row>
    <row r="51" spans="1:4" x14ac:dyDescent="0.3">
      <c r="A51" s="11" t="s">
        <v>94</v>
      </c>
      <c r="B51" s="15"/>
      <c r="C51" s="16">
        <v>75.55</v>
      </c>
      <c r="D51" s="20">
        <f>IFERROR((((B51-C51)/IF(C51&lt;0,-1*C51,C51))*100),"")</f>
        <v>-100</v>
      </c>
    </row>
    <row r="52" spans="1:4" x14ac:dyDescent="0.3">
      <c r="A52" s="12" t="s">
        <v>43</v>
      </c>
      <c r="B52" s="18">
        <f>B48+B49+B50+B51</f>
        <v>1925.47</v>
      </c>
      <c r="C52" s="18">
        <f>C48+C49+C50+C51</f>
        <v>1241.8999999999999</v>
      </c>
      <c r="D52" s="19">
        <f>IFERROR((((B52-C52)/IF(C52&lt;0,-1*C52,C52))*100),"")</f>
        <v>55.042273935099459</v>
      </c>
    </row>
    <row r="53" spans="1:4" x14ac:dyDescent="0.3">
      <c r="A53" s="9" t="s">
        <v>44</v>
      </c>
      <c r="B53" s="16">
        <v>39999</v>
      </c>
      <c r="C53" s="16">
        <v>37391.85</v>
      </c>
      <c r="D53" s="20">
        <f>IFERROR((((B53-C53)/IF(C53&lt;0,-1*C53,C53))*100),"")</f>
        <v>6.9725087151344525</v>
      </c>
    </row>
    <row r="54" spans="1:4" x14ac:dyDescent="0.3">
      <c r="A54" s="11" t="s">
        <v>45</v>
      </c>
      <c r="B54" s="16">
        <v>467.37</v>
      </c>
      <c r="C54" s="16">
        <v>377.11</v>
      </c>
      <c r="D54" s="20">
        <f>IFERROR((((B54-C54)/IF(C54&lt;0,-1*C54,C54))*100),"")</f>
        <v>23.934660974251543</v>
      </c>
    </row>
    <row r="55" spans="1:4" x14ac:dyDescent="0.3">
      <c r="A55" s="12" t="s">
        <v>46</v>
      </c>
      <c r="B55" s="18">
        <f>B53+B54</f>
        <v>40466.370000000003</v>
      </c>
      <c r="C55" s="18">
        <f>C53+C54</f>
        <v>37768.959999999999</v>
      </c>
      <c r="D55" s="19">
        <f>IFERROR((((B55-C55)/IF(C55&lt;0,-1*C55,C55))*100),"")</f>
        <v>7.1418699376419248</v>
      </c>
    </row>
    <row r="56" spans="1:4" x14ac:dyDescent="0.3">
      <c r="A56" s="9" t="s">
        <v>47</v>
      </c>
      <c r="B56" s="16">
        <v>1408.29</v>
      </c>
      <c r="C56" s="16">
        <v>1510.75</v>
      </c>
      <c r="D56" s="20">
        <f>IFERROR((((B56-C56)/IF(C56&lt;0,-1*C56,C56))*100),"")</f>
        <v>-6.7820618897898424</v>
      </c>
    </row>
    <row r="57" spans="1:4" x14ac:dyDescent="0.3">
      <c r="A57" s="9" t="s">
        <v>48</v>
      </c>
      <c r="B57" s="15"/>
      <c r="C57" s="16">
        <v>21.95</v>
      </c>
      <c r="D57" s="20">
        <f>IFERROR((((B57-C57)/IF(C57&lt;0,-1*C57,C57))*100),"")</f>
        <v>-100</v>
      </c>
    </row>
    <row r="58" spans="1:4" x14ac:dyDescent="0.3">
      <c r="A58" s="11" t="s">
        <v>49</v>
      </c>
      <c r="B58" s="16">
        <v>893.28</v>
      </c>
      <c r="C58" s="16">
        <v>663.9</v>
      </c>
      <c r="D58" s="20">
        <f>IFERROR((((B58-C58)/IF(C58&lt;0,-1*C58,C58))*100),"")</f>
        <v>34.550384093990061</v>
      </c>
    </row>
    <row r="59" spans="1:4" x14ac:dyDescent="0.3">
      <c r="A59" s="12" t="s">
        <v>50</v>
      </c>
      <c r="B59" s="18">
        <f>B57+B58</f>
        <v>893.28</v>
      </c>
      <c r="C59" s="18">
        <f>C57+C58</f>
        <v>685.85</v>
      </c>
      <c r="D59" s="19">
        <f>IFERROR((((B59-C59)/IF(C59&lt;0,-1*C59,C59))*100),"")</f>
        <v>30.24422249763067</v>
      </c>
    </row>
    <row r="60" spans="1:4" x14ac:dyDescent="0.3">
      <c r="A60" s="10" t="s">
        <v>51</v>
      </c>
      <c r="B60" s="18">
        <f>B34+B35+B39+B40+B41+B42+B43+B46+B47+B52+B55+B56+B59</f>
        <v>62573.8</v>
      </c>
      <c r="C60" s="18">
        <f>C34+C35+C39+C40+C41+C42+C43+C46+C47+C52+C55+C56+C59</f>
        <v>53720.409999999996</v>
      </c>
      <c r="D60" s="19">
        <f>IFERROR((((B60-C60)/IF(C60&lt;0,-1*C60,C60))*100),"")</f>
        <v>16.480495960473881</v>
      </c>
    </row>
    <row r="61" spans="1:4" x14ac:dyDescent="0.3">
      <c r="A61" s="7" t="s">
        <v>52</v>
      </c>
      <c r="B61" s="15"/>
      <c r="C61" s="15"/>
      <c r="D61" s="15" t="s">
        <v>82</v>
      </c>
    </row>
    <row r="62" spans="1:4" x14ac:dyDescent="0.3">
      <c r="A62" s="9" t="s">
        <v>53</v>
      </c>
      <c r="B62" s="16">
        <v>6424</v>
      </c>
      <c r="C62" s="16">
        <v>13097</v>
      </c>
      <c r="D62" s="20">
        <f>IFERROR((((B62-C62)/IF(C62&lt;0,-1*C62,C62))*100),"")</f>
        <v>-50.950599373902413</v>
      </c>
    </row>
    <row r="63" spans="1:4" x14ac:dyDescent="0.3">
      <c r="A63" s="9" t="s">
        <v>54</v>
      </c>
      <c r="B63" s="16">
        <v>18350</v>
      </c>
      <c r="C63" s="16">
        <v>17667.5</v>
      </c>
      <c r="D63" s="20">
        <f>IFERROR((((B63-C63)/IF(C63&lt;0,-1*C63,C63))*100),"")</f>
        <v>3.8630253289939152</v>
      </c>
    </row>
    <row r="64" spans="1:4" x14ac:dyDescent="0.3">
      <c r="A64" s="9" t="s">
        <v>55</v>
      </c>
      <c r="B64" s="16">
        <v>6813.7</v>
      </c>
      <c r="C64" s="15"/>
      <c r="D64" s="15" t="s">
        <v>82</v>
      </c>
    </row>
    <row r="65" spans="1:4" x14ac:dyDescent="0.3">
      <c r="A65" s="9" t="s">
        <v>56</v>
      </c>
      <c r="B65" s="16">
        <v>3000</v>
      </c>
      <c r="C65" s="15"/>
      <c r="D65" s="15" t="s">
        <v>82</v>
      </c>
    </row>
    <row r="66" spans="1:4" x14ac:dyDescent="0.3">
      <c r="A66" s="9" t="s">
        <v>57</v>
      </c>
      <c r="B66" s="16">
        <v>3222.5</v>
      </c>
      <c r="C66" s="16">
        <v>3072</v>
      </c>
      <c r="D66" s="20">
        <f>IFERROR((((B66-C66)/IF(C66&lt;0,-1*C66,C66))*100),"")</f>
        <v>4.8990885416666661</v>
      </c>
    </row>
    <row r="67" spans="1:4" x14ac:dyDescent="0.3">
      <c r="A67" s="9" t="s">
        <v>58</v>
      </c>
      <c r="B67" s="16">
        <v>11471.2</v>
      </c>
      <c r="C67" s="16">
        <v>3392</v>
      </c>
      <c r="D67" s="20">
        <f>IFERROR((((B67-C67)/IF(C67&lt;0,-1*C67,C67))*100),"")</f>
        <v>238.18396226415098</v>
      </c>
    </row>
    <row r="68" spans="1:4" x14ac:dyDescent="0.3">
      <c r="A68" s="9" t="s">
        <v>59</v>
      </c>
      <c r="B68" s="16">
        <v>518.4</v>
      </c>
      <c r="C68" s="15"/>
      <c r="D68" s="15" t="s">
        <v>82</v>
      </c>
    </row>
    <row r="69" spans="1:4" x14ac:dyDescent="0.3">
      <c r="A69" s="9" t="s">
        <v>60</v>
      </c>
      <c r="B69" s="16">
        <v>1719.75</v>
      </c>
      <c r="C69" s="15"/>
      <c r="D69" s="15" t="s">
        <v>82</v>
      </c>
    </row>
    <row r="70" spans="1:4" x14ac:dyDescent="0.3">
      <c r="A70" s="9" t="s">
        <v>61</v>
      </c>
      <c r="B70" s="16">
        <v>14000.96</v>
      </c>
      <c r="C70" s="15"/>
      <c r="D70" s="15" t="s">
        <v>82</v>
      </c>
    </row>
    <row r="71" spans="1:4" x14ac:dyDescent="0.3">
      <c r="A71" s="9" t="s">
        <v>62</v>
      </c>
      <c r="B71" s="16">
        <v>750</v>
      </c>
      <c r="C71" s="15"/>
      <c r="D71" s="15" t="s">
        <v>82</v>
      </c>
    </row>
    <row r="72" spans="1:4" x14ac:dyDescent="0.3">
      <c r="A72" s="9" t="s">
        <v>93</v>
      </c>
      <c r="B72" s="15"/>
      <c r="C72" s="16">
        <v>528</v>
      </c>
      <c r="D72" s="20">
        <f>IFERROR((((B72-C72)/IF(C72&lt;0,-1*C72,C72))*100),"")</f>
        <v>-100</v>
      </c>
    </row>
    <row r="73" spans="1:4" x14ac:dyDescent="0.3">
      <c r="A73" s="10" t="s">
        <v>63</v>
      </c>
      <c r="B73" s="18">
        <f>B61+B62+B63+B64+B65+B66+B67+B68+B69+B70+B71+B72</f>
        <v>66270.509999999995</v>
      </c>
      <c r="C73" s="18">
        <f>C61+C62+C63+C64+C65+C66+C67+C68+C69+C70+C71+C72</f>
        <v>37756.5</v>
      </c>
      <c r="D73" s="19">
        <f>IFERROR((((B73-C73)/IF(C73&lt;0,-1*C73,C73))*100),"")</f>
        <v>75.520797743434883</v>
      </c>
    </row>
    <row r="74" spans="1:4" x14ac:dyDescent="0.3">
      <c r="A74" s="7" t="s">
        <v>64</v>
      </c>
      <c r="B74" s="15"/>
      <c r="C74" s="15"/>
      <c r="D74" s="15" t="s">
        <v>82</v>
      </c>
    </row>
    <row r="75" spans="1:4" x14ac:dyDescent="0.3">
      <c r="A75" s="9" t="s">
        <v>65</v>
      </c>
      <c r="B75" s="16">
        <v>894.88</v>
      </c>
      <c r="C75" s="15"/>
      <c r="D75" s="15" t="s">
        <v>82</v>
      </c>
    </row>
    <row r="76" spans="1:4" x14ac:dyDescent="0.3">
      <c r="A76" s="9" t="s">
        <v>66</v>
      </c>
      <c r="B76" s="16">
        <v>5156.43</v>
      </c>
      <c r="C76" s="16">
        <v>1707.63</v>
      </c>
      <c r="D76" s="20">
        <f>IFERROR((((B76-C76)/IF(C76&lt;0,-1*C76,C76))*100),"")</f>
        <v>201.96412571810055</v>
      </c>
    </row>
    <row r="77" spans="1:4" x14ac:dyDescent="0.3">
      <c r="A77" s="9" t="s">
        <v>67</v>
      </c>
      <c r="B77" s="16">
        <v>2723.4</v>
      </c>
      <c r="C77" s="16">
        <v>3089.53</v>
      </c>
      <c r="D77" s="20">
        <f>IFERROR((((B77-C77)/IF(C77&lt;0,-1*C77,C77))*100),"")</f>
        <v>-11.85066984298583</v>
      </c>
    </row>
    <row r="78" spans="1:4" x14ac:dyDescent="0.3">
      <c r="A78" s="10" t="s">
        <v>68</v>
      </c>
      <c r="B78" s="18">
        <f>B74+B75+B76+B77</f>
        <v>8774.7100000000009</v>
      </c>
      <c r="C78" s="18">
        <f>C74+C75+C76+C77</f>
        <v>4797.16</v>
      </c>
      <c r="D78" s="19">
        <f>IFERROR((((B78-C78)/IF(C78&lt;0,-1*C78,C78))*100),"")</f>
        <v>82.91468285402199</v>
      </c>
    </row>
    <row r="79" spans="1:4" x14ac:dyDescent="0.3">
      <c r="A79" s="7" t="s">
        <v>92</v>
      </c>
      <c r="B79" s="15"/>
      <c r="C79" s="16">
        <v>174.15</v>
      </c>
      <c r="D79" s="20">
        <f>IFERROR((((B79-C79)/IF(C79&lt;0,-1*C79,C79))*100),"")</f>
        <v>-100</v>
      </c>
    </row>
    <row r="80" spans="1:4" x14ac:dyDescent="0.3">
      <c r="A80" s="8" t="s">
        <v>69</v>
      </c>
      <c r="B80" s="18">
        <f>B28+B33+B60+B73+B78+B79</f>
        <v>160504.72</v>
      </c>
      <c r="C80" s="18">
        <f>C28+C33+C60+C73+C78+C79</f>
        <v>110334.92</v>
      </c>
      <c r="D80" s="19">
        <f>IFERROR((((B80-C80)/IF(C80&lt;0,-1*C80,C80))*100),"")</f>
        <v>45.470463929280051</v>
      </c>
    </row>
    <row r="81" spans="1:4" x14ac:dyDescent="0.3">
      <c r="A81" s="8" t="s">
        <v>70</v>
      </c>
      <c r="B81" s="18">
        <f>B22-B80</f>
        <v>28509.949999999983</v>
      </c>
      <c r="C81" s="18">
        <f>C22-C80</f>
        <v>56539.660000000018</v>
      </c>
      <c r="D81" s="19">
        <f>IFERROR((((B81-C81)/IF(C81&lt;0,-1*C81,C81))*100),"")</f>
        <v>-49.575306961520511</v>
      </c>
    </row>
    <row r="82" spans="1:4" x14ac:dyDescent="0.3">
      <c r="A82" s="6" t="s">
        <v>71</v>
      </c>
    </row>
    <row r="83" spans="1:4" x14ac:dyDescent="0.3">
      <c r="A83" s="7" t="s">
        <v>72</v>
      </c>
      <c r="B83" s="16">
        <v>769.02</v>
      </c>
      <c r="C83" s="16">
        <v>813.77</v>
      </c>
      <c r="D83" s="20">
        <f>IFERROR((((B83-C83)/IF(C83&lt;0,-1*C83,C83))*100),"")</f>
        <v>-5.4990967963921014</v>
      </c>
    </row>
    <row r="84" spans="1:4" x14ac:dyDescent="0.3">
      <c r="A84" s="8" t="s">
        <v>73</v>
      </c>
      <c r="B84" s="18">
        <f>B83</f>
        <v>769.02</v>
      </c>
      <c r="C84" s="18">
        <f>C83</f>
        <v>813.77</v>
      </c>
      <c r="D84" s="19">
        <f>IFERROR((((B84-C84)/IF(C84&lt;0,-1*C84,C84))*100),"")</f>
        <v>-5.4990967963921014</v>
      </c>
    </row>
    <row r="85" spans="1:4" x14ac:dyDescent="0.3">
      <c r="A85" s="6" t="s">
        <v>74</v>
      </c>
    </row>
    <row r="86" spans="1:4" x14ac:dyDescent="0.3">
      <c r="A86" s="7" t="s">
        <v>75</v>
      </c>
      <c r="B86" s="16">
        <v>13200.84</v>
      </c>
      <c r="C86" s="16">
        <v>20449</v>
      </c>
      <c r="D86" s="20">
        <f>IFERROR((((B86-C86)/IF(C86&lt;0,-1*C86,C86))*100),"")</f>
        <v>-35.445058438065431</v>
      </c>
    </row>
    <row r="87" spans="1:4" x14ac:dyDescent="0.3">
      <c r="A87" s="7" t="s">
        <v>76</v>
      </c>
      <c r="B87" s="15"/>
      <c r="C87" s="15"/>
      <c r="D87" s="15" t="s">
        <v>82</v>
      </c>
    </row>
    <row r="88" spans="1:4" x14ac:dyDescent="0.3">
      <c r="A88" s="9" t="s">
        <v>77</v>
      </c>
      <c r="B88" s="16">
        <v>33.99</v>
      </c>
      <c r="C88" s="16">
        <v>41.97</v>
      </c>
      <c r="D88" s="20">
        <f>IFERROR((((B88-C88)/IF(C88&lt;0,-1*C88,C88))*100),"")</f>
        <v>-19.013581129378121</v>
      </c>
    </row>
    <row r="89" spans="1:4" x14ac:dyDescent="0.3">
      <c r="A89" s="10" t="s">
        <v>78</v>
      </c>
      <c r="B89" s="18">
        <f>B87+B88</f>
        <v>33.99</v>
      </c>
      <c r="C89" s="18">
        <f>C87+C88</f>
        <v>41.97</v>
      </c>
      <c r="D89" s="19">
        <f>IFERROR((((B89-C89)/IF(C89&lt;0,-1*C89,C89))*100),"")</f>
        <v>-19.013581129378121</v>
      </c>
    </row>
    <row r="90" spans="1:4" x14ac:dyDescent="0.3">
      <c r="A90" s="8" t="s">
        <v>79</v>
      </c>
      <c r="B90" s="18">
        <f>B86+B89</f>
        <v>13234.83</v>
      </c>
      <c r="C90" s="18">
        <f>C86+C89</f>
        <v>20490.97</v>
      </c>
      <c r="D90" s="19">
        <f>IFERROR((((B90-C90)/IF(C90&lt;0,-1*C90,C90))*100),"")</f>
        <v>-35.411403169298481</v>
      </c>
    </row>
    <row r="91" spans="1:4" x14ac:dyDescent="0.3">
      <c r="A91" s="8" t="s">
        <v>80</v>
      </c>
      <c r="B91" s="18">
        <f>B84-B90</f>
        <v>-12465.81</v>
      </c>
      <c r="C91" s="18">
        <f>C84-C90</f>
        <v>-19677.2</v>
      </c>
      <c r="D91" s="19">
        <f>IFERROR((((B91-C91)/IF(C91&lt;0,-1*C91,C91))*100),"")</f>
        <v>36.64845608114976</v>
      </c>
    </row>
    <row r="92" spans="1:4" x14ac:dyDescent="0.3">
      <c r="A92" s="8" t="s">
        <v>81</v>
      </c>
      <c r="B92" s="18">
        <f>B81+B91</f>
        <v>16044.139999999983</v>
      </c>
      <c r="C92" s="18">
        <f>C81+C91</f>
        <v>36862.460000000021</v>
      </c>
      <c r="D92" s="19">
        <f>IFERROR((((B92-C92)/IF(C92&lt;0,-1*C92,C92))*100),"")</f>
        <v>-56.475666572442599</v>
      </c>
    </row>
    <row r="96" spans="1:4" x14ac:dyDescent="0.3">
      <c r="A96" s="1" t="s">
        <v>91</v>
      </c>
      <c r="B96" s="4"/>
      <c r="C96" s="4"/>
      <c r="D96" s="4"/>
    </row>
  </sheetData>
  <mergeCells count="5">
    <mergeCell ref="A1:D1"/>
    <mergeCell ref="A2:D2"/>
    <mergeCell ref="A3:D3"/>
    <mergeCell ref="B5:D5"/>
    <mergeCell ref="A96:D96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16B7-3314-4B71-B176-708C135D0939}">
  <dimension ref="A1:D74"/>
  <sheetViews>
    <sheetView workbookViewId="0">
      <selection activeCell="E77" sqref="E77"/>
    </sheetView>
  </sheetViews>
  <sheetFormatPr defaultColWidth="11.296875" defaultRowHeight="15.6" x14ac:dyDescent="0.3"/>
  <cols>
    <col min="1" max="1" width="33.19921875" style="13" customWidth="1"/>
    <col min="2" max="2" width="17" style="13" customWidth="1"/>
    <col min="3" max="4" width="16.09765625" style="13" customWidth="1"/>
  </cols>
  <sheetData>
    <row r="1" spans="1:4" ht="15.6" customHeight="1" x14ac:dyDescent="0.3">
      <c r="A1" s="5" t="s">
        <v>167</v>
      </c>
      <c r="B1" s="4"/>
      <c r="C1" s="4"/>
      <c r="D1" s="4"/>
    </row>
    <row r="2" spans="1:4" x14ac:dyDescent="0.3">
      <c r="A2" s="3" t="s">
        <v>1</v>
      </c>
      <c r="B2" s="4"/>
      <c r="C2" s="4"/>
      <c r="D2" s="4"/>
    </row>
    <row r="3" spans="1:4" x14ac:dyDescent="0.3">
      <c r="A3" s="2" t="s">
        <v>166</v>
      </c>
      <c r="B3" s="4"/>
      <c r="C3" s="4"/>
      <c r="D3" s="4"/>
    </row>
    <row r="5" spans="1:4" x14ac:dyDescent="0.3">
      <c r="A5" s="14" t="s">
        <v>82</v>
      </c>
      <c r="B5" s="14" t="s">
        <v>83</v>
      </c>
      <c r="C5" s="14" t="s">
        <v>84</v>
      </c>
      <c r="D5" s="14" t="s">
        <v>85</v>
      </c>
    </row>
    <row r="6" spans="1:4" x14ac:dyDescent="0.3">
      <c r="A6" s="6" t="s">
        <v>165</v>
      </c>
      <c r="B6" s="15"/>
      <c r="C6" s="15"/>
      <c r="D6" s="15"/>
    </row>
    <row r="7" spans="1:4" x14ac:dyDescent="0.3">
      <c r="A7" s="7" t="s">
        <v>164</v>
      </c>
      <c r="B7" s="15"/>
      <c r="C7" s="15"/>
      <c r="D7" s="15"/>
    </row>
    <row r="8" spans="1:4" x14ac:dyDescent="0.3">
      <c r="A8" s="9" t="s">
        <v>163</v>
      </c>
      <c r="B8" s="15"/>
      <c r="C8" s="15"/>
      <c r="D8" s="15"/>
    </row>
    <row r="9" spans="1:4" x14ac:dyDescent="0.3">
      <c r="A9" s="11" t="s">
        <v>162</v>
      </c>
      <c r="B9" s="16">
        <v>34893.96</v>
      </c>
      <c r="C9" s="16">
        <v>32590.59</v>
      </c>
      <c r="D9" s="16">
        <v>25837.06</v>
      </c>
    </row>
    <row r="10" spans="1:4" x14ac:dyDescent="0.3">
      <c r="A10" s="11" t="s">
        <v>161</v>
      </c>
      <c r="B10" s="16">
        <v>103908.09</v>
      </c>
      <c r="C10" s="16">
        <v>113352.53</v>
      </c>
      <c r="D10" s="16">
        <v>128344.83</v>
      </c>
    </row>
    <row r="11" spans="1:4" x14ac:dyDescent="0.3">
      <c r="A11" s="12" t="s">
        <v>160</v>
      </c>
      <c r="B11" s="17">
        <f>B8+B9+B10</f>
        <v>138802.04999999999</v>
      </c>
      <c r="C11" s="17">
        <f>C8+C9+C10</f>
        <v>145943.12</v>
      </c>
      <c r="D11" s="17">
        <f>D8+D9+D10</f>
        <v>154181.89000000001</v>
      </c>
    </row>
    <row r="12" spans="1:4" x14ac:dyDescent="0.3">
      <c r="A12" s="9" t="s">
        <v>159</v>
      </c>
      <c r="B12" s="15"/>
      <c r="C12" s="15"/>
      <c r="D12" s="15"/>
    </row>
    <row r="13" spans="1:4" x14ac:dyDescent="0.3">
      <c r="A13" s="11" t="s">
        <v>158</v>
      </c>
      <c r="B13" s="16">
        <v>2974.29</v>
      </c>
      <c r="C13" s="16">
        <v>5821.73</v>
      </c>
      <c r="D13" s="16">
        <v>7919.3099999999995</v>
      </c>
    </row>
    <row r="14" spans="1:4" x14ac:dyDescent="0.3">
      <c r="A14" s="11" t="s">
        <v>157</v>
      </c>
      <c r="B14" s="16">
        <v>26563.899999999998</v>
      </c>
      <c r="C14" s="16">
        <v>25734.159999999996</v>
      </c>
      <c r="D14" s="16">
        <v>24904.419999999995</v>
      </c>
    </row>
    <row r="15" spans="1:4" x14ac:dyDescent="0.3">
      <c r="A15" s="11" t="s">
        <v>156</v>
      </c>
      <c r="B15" s="16">
        <v>0</v>
      </c>
      <c r="C15" s="16">
        <v>0</v>
      </c>
      <c r="D15" s="16">
        <v>0</v>
      </c>
    </row>
    <row r="16" spans="1:4" x14ac:dyDescent="0.3">
      <c r="A16" s="12" t="s">
        <v>155</v>
      </c>
      <c r="B16" s="17">
        <f>B12+B13+B14+B15</f>
        <v>29538.19</v>
      </c>
      <c r="C16" s="17">
        <f>C12+C13+C14+C15</f>
        <v>31555.889999999996</v>
      </c>
      <c r="D16" s="17">
        <f>D12+D13+D14+D15</f>
        <v>32823.729999999996</v>
      </c>
    </row>
    <row r="17" spans="1:4" x14ac:dyDescent="0.3">
      <c r="A17" s="10" t="s">
        <v>154</v>
      </c>
      <c r="B17" s="17">
        <f>B7+B11+B16</f>
        <v>168340.24</v>
      </c>
      <c r="C17" s="17">
        <f>C7+C11+C16</f>
        <v>177499.00999999998</v>
      </c>
      <c r="D17" s="17">
        <f>D7+D11+D16</f>
        <v>187005.62</v>
      </c>
    </row>
    <row r="18" spans="1:4" x14ac:dyDescent="0.3">
      <c r="A18" s="7" t="s">
        <v>153</v>
      </c>
      <c r="B18" s="15"/>
      <c r="C18" s="15"/>
      <c r="D18" s="15"/>
    </row>
    <row r="19" spans="1:4" x14ac:dyDescent="0.3">
      <c r="A19" s="9" t="s">
        <v>152</v>
      </c>
      <c r="B19" s="16">
        <v>-155714</v>
      </c>
      <c r="C19" s="16">
        <v>-155714</v>
      </c>
      <c r="D19" s="16">
        <v>-155714</v>
      </c>
    </row>
    <row r="20" spans="1:4" x14ac:dyDescent="0.3">
      <c r="A20" s="9" t="s">
        <v>151</v>
      </c>
      <c r="B20" s="16">
        <v>-40300</v>
      </c>
      <c r="C20" s="16">
        <v>-40300</v>
      </c>
      <c r="D20" s="16">
        <v>-40300</v>
      </c>
    </row>
    <row r="21" spans="1:4" x14ac:dyDescent="0.3">
      <c r="A21" s="9" t="s">
        <v>150</v>
      </c>
      <c r="B21" s="16">
        <v>26000</v>
      </c>
      <c r="C21" s="16">
        <v>26000</v>
      </c>
      <c r="D21" s="16">
        <v>26000</v>
      </c>
    </row>
    <row r="22" spans="1:4" x14ac:dyDescent="0.3">
      <c r="A22" s="9" t="s">
        <v>149</v>
      </c>
      <c r="B22" s="15"/>
      <c r="C22" s="15"/>
      <c r="D22" s="15"/>
    </row>
    <row r="23" spans="1:4" x14ac:dyDescent="0.3">
      <c r="A23" s="11" t="s">
        <v>148</v>
      </c>
      <c r="B23" s="16">
        <v>14300</v>
      </c>
      <c r="C23" s="16">
        <v>14300</v>
      </c>
      <c r="D23" s="16">
        <v>14300</v>
      </c>
    </row>
    <row r="24" spans="1:4" x14ac:dyDescent="0.3">
      <c r="A24" s="12" t="s">
        <v>147</v>
      </c>
      <c r="B24" s="17">
        <f>B22+B23</f>
        <v>14300</v>
      </c>
      <c r="C24" s="17">
        <f>C22+C23</f>
        <v>14300</v>
      </c>
      <c r="D24" s="17">
        <f>D22+D23</f>
        <v>14300</v>
      </c>
    </row>
    <row r="25" spans="1:4" x14ac:dyDescent="0.3">
      <c r="A25" s="10" t="s">
        <v>146</v>
      </c>
      <c r="B25" s="17">
        <f>B18+B19+B20+B21+B24</f>
        <v>-155714</v>
      </c>
      <c r="C25" s="17">
        <f>C18+C19+C20+C21+C24</f>
        <v>-155714</v>
      </c>
      <c r="D25" s="17">
        <f>D18+D19+D20+D21+D24</f>
        <v>-155714</v>
      </c>
    </row>
    <row r="26" spans="1:4" x14ac:dyDescent="0.3">
      <c r="A26" s="7" t="s">
        <v>145</v>
      </c>
      <c r="B26" s="15"/>
      <c r="C26" s="15"/>
      <c r="D26" s="15"/>
    </row>
    <row r="27" spans="1:4" x14ac:dyDescent="0.3">
      <c r="A27" s="9" t="s">
        <v>144</v>
      </c>
      <c r="B27" s="16">
        <v>9749.25</v>
      </c>
      <c r="C27" s="16">
        <v>9749.25</v>
      </c>
      <c r="D27" s="16">
        <v>9749.25</v>
      </c>
    </row>
    <row r="28" spans="1:4" x14ac:dyDescent="0.3">
      <c r="A28" s="9" t="s">
        <v>143</v>
      </c>
      <c r="B28" s="16">
        <v>990000</v>
      </c>
      <c r="C28" s="16">
        <v>990000</v>
      </c>
      <c r="D28" s="16">
        <v>990000</v>
      </c>
    </row>
    <row r="29" spans="1:4" x14ac:dyDescent="0.3">
      <c r="A29" s="9" t="s">
        <v>142</v>
      </c>
      <c r="B29" s="16">
        <v>0</v>
      </c>
      <c r="C29" s="16">
        <v>0</v>
      </c>
      <c r="D29" s="16">
        <v>0</v>
      </c>
    </row>
    <row r="30" spans="1:4" x14ac:dyDescent="0.3">
      <c r="A30" s="10" t="s">
        <v>141</v>
      </c>
      <c r="B30" s="17">
        <f>B26+B27+B28+B29</f>
        <v>999749.25</v>
      </c>
      <c r="C30" s="17">
        <f>C26+C27+C28+C29</f>
        <v>999749.25</v>
      </c>
      <c r="D30" s="17">
        <f>D26+D27+D28+D29</f>
        <v>999749.25</v>
      </c>
    </row>
    <row r="31" spans="1:4" x14ac:dyDescent="0.3">
      <c r="A31" s="8" t="s">
        <v>140</v>
      </c>
      <c r="B31" s="17">
        <f>B17+B25+B30</f>
        <v>1012375.49</v>
      </c>
      <c r="C31" s="17">
        <f>C17+C25+C30</f>
        <v>1021534.26</v>
      </c>
      <c r="D31" s="17">
        <f>D17+D25+D30</f>
        <v>1031040.87</v>
      </c>
    </row>
    <row r="32" spans="1:4" x14ac:dyDescent="0.3">
      <c r="A32" s="6" t="s">
        <v>139</v>
      </c>
      <c r="B32" s="15"/>
      <c r="C32" s="15"/>
      <c r="D32" s="15"/>
    </row>
    <row r="33" spans="1:4" x14ac:dyDescent="0.3">
      <c r="A33" s="7" t="s">
        <v>138</v>
      </c>
      <c r="B33" s="15"/>
      <c r="C33" s="15"/>
      <c r="D33" s="15"/>
    </row>
    <row r="34" spans="1:4" x14ac:dyDescent="0.3">
      <c r="A34" s="9" t="s">
        <v>137</v>
      </c>
      <c r="B34" s="15"/>
      <c r="C34" s="15"/>
      <c r="D34" s="15"/>
    </row>
    <row r="35" spans="1:4" x14ac:dyDescent="0.3">
      <c r="A35" s="11" t="s">
        <v>136</v>
      </c>
      <c r="B35" s="15"/>
      <c r="C35" s="15"/>
      <c r="D35" s="15"/>
    </row>
    <row r="36" spans="1:4" x14ac:dyDescent="0.3">
      <c r="A36" s="24" t="s">
        <v>135</v>
      </c>
      <c r="B36" s="16">
        <v>1636</v>
      </c>
      <c r="C36" s="16">
        <v>1636</v>
      </c>
      <c r="D36" s="16">
        <v>811</v>
      </c>
    </row>
    <row r="37" spans="1:4" x14ac:dyDescent="0.3">
      <c r="A37" s="23" t="s">
        <v>134</v>
      </c>
      <c r="B37" s="17">
        <f>B35+B36</f>
        <v>1636</v>
      </c>
      <c r="C37" s="17">
        <f>C35+C36</f>
        <v>1636</v>
      </c>
      <c r="D37" s="17">
        <f>D35+D36</f>
        <v>811</v>
      </c>
    </row>
    <row r="38" spans="1:4" x14ac:dyDescent="0.3">
      <c r="A38" s="11" t="s">
        <v>133</v>
      </c>
      <c r="B38" s="15"/>
      <c r="C38" s="15"/>
      <c r="D38" s="15"/>
    </row>
    <row r="39" spans="1:4" x14ac:dyDescent="0.3">
      <c r="A39" s="24" t="s">
        <v>132</v>
      </c>
      <c r="B39" s="16">
        <v>67923.290000000008</v>
      </c>
      <c r="C39" s="16">
        <v>72925.16</v>
      </c>
      <c r="D39" s="16">
        <v>81938.16</v>
      </c>
    </row>
    <row r="40" spans="1:4" x14ac:dyDescent="0.3">
      <c r="A40" s="24" t="s">
        <v>131</v>
      </c>
      <c r="B40" s="16">
        <v>-59559.590000000004</v>
      </c>
      <c r="C40" s="16">
        <v>-58716.41</v>
      </c>
      <c r="D40" s="16">
        <v>-67404.540000000008</v>
      </c>
    </row>
    <row r="41" spans="1:4" x14ac:dyDescent="0.3">
      <c r="A41" s="24" t="s">
        <v>130</v>
      </c>
      <c r="B41" s="16">
        <v>13888.769999999999</v>
      </c>
      <c r="C41" s="16">
        <v>14072.989999999998</v>
      </c>
      <c r="D41" s="16">
        <v>15230.039999999997</v>
      </c>
    </row>
    <row r="42" spans="1:4" x14ac:dyDescent="0.3">
      <c r="A42" s="24" t="s">
        <v>129</v>
      </c>
      <c r="B42" s="16">
        <v>0</v>
      </c>
      <c r="C42" s="16">
        <v>0</v>
      </c>
      <c r="D42" s="16">
        <v>0</v>
      </c>
    </row>
    <row r="43" spans="1:4" x14ac:dyDescent="0.3">
      <c r="A43" s="23" t="s">
        <v>128</v>
      </c>
      <c r="B43" s="17">
        <f>B38+B39+B40+B41+B42</f>
        <v>22252.47</v>
      </c>
      <c r="C43" s="17">
        <f>C38+C39+C40+C41+C42</f>
        <v>28281.739999999998</v>
      </c>
      <c r="D43" s="17">
        <f>D38+D39+D40+D41+D42</f>
        <v>29763.659999999993</v>
      </c>
    </row>
    <row r="44" spans="1:4" x14ac:dyDescent="0.3">
      <c r="A44" s="11" t="s">
        <v>127</v>
      </c>
      <c r="B44" s="15"/>
      <c r="C44" s="15"/>
      <c r="D44" s="15"/>
    </row>
    <row r="45" spans="1:4" x14ac:dyDescent="0.3">
      <c r="A45" s="24" t="s">
        <v>126</v>
      </c>
      <c r="B45" s="16">
        <v>16370.5</v>
      </c>
      <c r="C45" s="16">
        <v>16511.099999999999</v>
      </c>
      <c r="D45" s="16">
        <v>18419.8</v>
      </c>
    </row>
    <row r="46" spans="1:4" x14ac:dyDescent="0.3">
      <c r="A46" s="24" t="s">
        <v>125</v>
      </c>
      <c r="B46" s="15"/>
      <c r="C46" s="16">
        <v>-670.92</v>
      </c>
      <c r="D46" s="16">
        <v>-670.92</v>
      </c>
    </row>
    <row r="47" spans="1:4" x14ac:dyDescent="0.3">
      <c r="A47" s="26" t="s">
        <v>124</v>
      </c>
      <c r="B47" s="16">
        <v>250.94</v>
      </c>
      <c r="C47" s="16">
        <v>921.8599999999999</v>
      </c>
      <c r="D47" s="16">
        <v>921.8599999999999</v>
      </c>
    </row>
    <row r="48" spans="1:4" x14ac:dyDescent="0.3">
      <c r="A48" s="25" t="s">
        <v>123</v>
      </c>
      <c r="B48" s="17">
        <f>B46+B47</f>
        <v>250.94</v>
      </c>
      <c r="C48" s="17">
        <f>C46+C47</f>
        <v>250.93999999999994</v>
      </c>
      <c r="D48" s="17">
        <f>D46+D47</f>
        <v>250.93999999999994</v>
      </c>
    </row>
    <row r="49" spans="1:4" x14ac:dyDescent="0.3">
      <c r="A49" s="24" t="s">
        <v>122</v>
      </c>
      <c r="B49" s="16">
        <v>122</v>
      </c>
      <c r="C49" s="16">
        <v>138</v>
      </c>
      <c r="D49" s="16">
        <v>199</v>
      </c>
    </row>
    <row r="50" spans="1:4" x14ac:dyDescent="0.3">
      <c r="A50" s="23" t="s">
        <v>121</v>
      </c>
      <c r="B50" s="17">
        <f>B44+B45+B48+B49</f>
        <v>16743.439999999999</v>
      </c>
      <c r="C50" s="17">
        <f>C44+C45+C48+C49</f>
        <v>16900.039999999997</v>
      </c>
      <c r="D50" s="17">
        <f>D44+D45+D48+D49</f>
        <v>18869.739999999998</v>
      </c>
    </row>
    <row r="51" spans="1:4" x14ac:dyDescent="0.3">
      <c r="A51" s="12" t="s">
        <v>120</v>
      </c>
      <c r="B51" s="17">
        <f>B34+B37+B43+B50</f>
        <v>40631.910000000003</v>
      </c>
      <c r="C51" s="17">
        <f>C34+C37+C43+C50</f>
        <v>46817.78</v>
      </c>
      <c r="D51" s="17">
        <f>D34+D37+D43+D50</f>
        <v>49444.399999999994</v>
      </c>
    </row>
    <row r="52" spans="1:4" x14ac:dyDescent="0.3">
      <c r="A52" s="9" t="s">
        <v>119</v>
      </c>
      <c r="B52" s="15"/>
      <c r="C52" s="15"/>
      <c r="D52" s="15"/>
    </row>
    <row r="53" spans="1:4" x14ac:dyDescent="0.3">
      <c r="A53" s="11" t="s">
        <v>118</v>
      </c>
      <c r="B53" s="16">
        <v>808546.69</v>
      </c>
      <c r="C53" s="16">
        <v>805971.98</v>
      </c>
      <c r="D53" s="16">
        <v>802944.21</v>
      </c>
    </row>
    <row r="54" spans="1:4" x14ac:dyDescent="0.3">
      <c r="A54" s="11" t="s">
        <v>117</v>
      </c>
      <c r="B54" s="16">
        <v>34000</v>
      </c>
      <c r="C54" s="16">
        <v>34000</v>
      </c>
      <c r="D54" s="16">
        <v>34000</v>
      </c>
    </row>
    <row r="55" spans="1:4" x14ac:dyDescent="0.3">
      <c r="A55" s="12" t="s">
        <v>116</v>
      </c>
      <c r="B55" s="17">
        <f>B52+B53+B54</f>
        <v>842546.69</v>
      </c>
      <c r="C55" s="17">
        <f>C52+C53+C54</f>
        <v>839971.98</v>
      </c>
      <c r="D55" s="17">
        <f>D52+D53+D54</f>
        <v>836944.21</v>
      </c>
    </row>
    <row r="56" spans="1:4" x14ac:dyDescent="0.3">
      <c r="A56" s="10" t="s">
        <v>115</v>
      </c>
      <c r="B56" s="17">
        <f>B33+B51+B55</f>
        <v>883178.6</v>
      </c>
      <c r="C56" s="17">
        <f>C33+C51+C55</f>
        <v>886789.76</v>
      </c>
      <c r="D56" s="17">
        <f>D33+D51+D55</f>
        <v>886388.61</v>
      </c>
    </row>
    <row r="57" spans="1:4" x14ac:dyDescent="0.3">
      <c r="A57" s="7" t="s">
        <v>114</v>
      </c>
      <c r="B57" s="15"/>
      <c r="C57" s="15"/>
      <c r="D57" s="15"/>
    </row>
    <row r="58" spans="1:4" x14ac:dyDescent="0.3">
      <c r="A58" s="9" t="s">
        <v>113</v>
      </c>
      <c r="B58" s="16">
        <v>25000</v>
      </c>
      <c r="C58" s="16">
        <v>25000</v>
      </c>
      <c r="D58" s="16">
        <v>25000</v>
      </c>
    </row>
    <row r="59" spans="1:4" x14ac:dyDescent="0.3">
      <c r="A59" s="9" t="s">
        <v>112</v>
      </c>
      <c r="B59" s="16">
        <v>25000</v>
      </c>
      <c r="C59" s="16">
        <v>25000</v>
      </c>
      <c r="D59" s="16">
        <v>25000</v>
      </c>
    </row>
    <row r="60" spans="1:4" x14ac:dyDescent="0.3">
      <c r="A60" s="9" t="s">
        <v>111</v>
      </c>
      <c r="B60" s="16">
        <v>-7314</v>
      </c>
      <c r="C60" s="16">
        <v>-7314</v>
      </c>
      <c r="D60" s="16">
        <v>-7314</v>
      </c>
    </row>
    <row r="61" spans="1:4" x14ac:dyDescent="0.3">
      <c r="A61" s="9" t="s">
        <v>110</v>
      </c>
      <c r="B61" s="16">
        <v>50000</v>
      </c>
      <c r="C61" s="16">
        <v>50000</v>
      </c>
      <c r="D61" s="16">
        <v>50000</v>
      </c>
    </row>
    <row r="62" spans="1:4" x14ac:dyDescent="0.3">
      <c r="A62" s="9" t="s">
        <v>109</v>
      </c>
      <c r="B62" s="16">
        <v>25000</v>
      </c>
      <c r="C62" s="16">
        <v>25000</v>
      </c>
      <c r="D62" s="16">
        <v>25000</v>
      </c>
    </row>
    <row r="63" spans="1:4" x14ac:dyDescent="0.3">
      <c r="A63" s="9" t="s">
        <v>108</v>
      </c>
      <c r="B63" s="16">
        <v>-7314</v>
      </c>
      <c r="C63" s="16">
        <v>-7314</v>
      </c>
      <c r="D63" s="16">
        <v>-7314</v>
      </c>
    </row>
    <row r="64" spans="1:4" x14ac:dyDescent="0.3">
      <c r="A64" s="9" t="s">
        <v>107</v>
      </c>
      <c r="B64" s="16">
        <v>0</v>
      </c>
      <c r="C64" s="16">
        <v>0</v>
      </c>
      <c r="D64" s="16">
        <v>0</v>
      </c>
    </row>
    <row r="65" spans="1:4" x14ac:dyDescent="0.3">
      <c r="A65" s="9" t="s">
        <v>106</v>
      </c>
      <c r="B65" s="16">
        <v>12500</v>
      </c>
      <c r="C65" s="16">
        <v>12500</v>
      </c>
      <c r="D65" s="16">
        <v>12500</v>
      </c>
    </row>
    <row r="66" spans="1:4" x14ac:dyDescent="0.3">
      <c r="A66" s="9" t="s">
        <v>105</v>
      </c>
      <c r="B66" s="16">
        <v>0</v>
      </c>
      <c r="C66" s="16">
        <v>0</v>
      </c>
      <c r="D66" s="16">
        <v>0</v>
      </c>
    </row>
    <row r="67" spans="1:4" x14ac:dyDescent="0.3">
      <c r="A67" s="9" t="s">
        <v>104</v>
      </c>
      <c r="B67" s="16">
        <v>5736.1199999999953</v>
      </c>
      <c r="C67" s="16">
        <v>5736.1199999999953</v>
      </c>
      <c r="D67" s="16">
        <v>5736.1199999999953</v>
      </c>
    </row>
    <row r="68" spans="1:4" x14ac:dyDescent="0.3">
      <c r="A68" s="9" t="s">
        <v>81</v>
      </c>
      <c r="B68" s="16">
        <v>588.77000000000498</v>
      </c>
      <c r="C68" s="16">
        <v>6136.3799999999837</v>
      </c>
      <c r="D68" s="16">
        <v>16044.139999999981</v>
      </c>
    </row>
    <row r="69" spans="1:4" x14ac:dyDescent="0.3">
      <c r="A69" s="10" t="s">
        <v>103</v>
      </c>
      <c r="B69" s="17">
        <f>B57+B58+B59+B60+B61+B62+B63+B64+B65+B66+B67+B68</f>
        <v>129196.89</v>
      </c>
      <c r="C69" s="17">
        <f>C57+C58+C59+C60+C61+C62+C63+C64+C65+C66+C67+C68</f>
        <v>134744.49999999997</v>
      </c>
      <c r="D69" s="17">
        <f>D57+D58+D59+D60+D61+D62+D63+D64+D65+D66+D67+D68</f>
        <v>144652.25999999998</v>
      </c>
    </row>
    <row r="70" spans="1:4" x14ac:dyDescent="0.3">
      <c r="A70" s="8" t="s">
        <v>102</v>
      </c>
      <c r="B70" s="17">
        <f>B56+B69</f>
        <v>1012375.49</v>
      </c>
      <c r="C70" s="17">
        <f>C56+C69</f>
        <v>1021534.26</v>
      </c>
      <c r="D70" s="17">
        <f>D56+D69</f>
        <v>1031040.87</v>
      </c>
    </row>
    <row r="74" spans="1:4" ht="15.6" customHeight="1" x14ac:dyDescent="0.3">
      <c r="A74" s="1" t="s">
        <v>168</v>
      </c>
      <c r="B74" s="4"/>
      <c r="C74" s="4"/>
      <c r="D74" s="4"/>
    </row>
  </sheetData>
  <mergeCells count="4">
    <mergeCell ref="A1:D1"/>
    <mergeCell ref="A2:D2"/>
    <mergeCell ref="A3:D3"/>
    <mergeCell ref="A74:D7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P&amp;L</vt:lpstr>
      <vt:lpstr>YTD YOY P&amp;L</vt:lpstr>
      <vt:lpstr>Balance 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Amanda Green</cp:lastModifiedBy>
  <dcterms:created xsi:type="dcterms:W3CDTF">2022-03-24T08:55:57Z</dcterms:created>
  <dcterms:modified xsi:type="dcterms:W3CDTF">2026-04-09T03:31:15Z</dcterms:modified>
  <cp:category/>
</cp:coreProperties>
</file>