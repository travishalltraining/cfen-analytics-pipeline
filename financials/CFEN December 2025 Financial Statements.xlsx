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gre\Desktop\Clients\CFEN\Financials\2025\"/>
    </mc:Choice>
  </mc:AlternateContent>
  <xr:revisionPtr revIDLastSave="0" documentId="8_{85A846AD-1266-4D74-AA20-7E2BDB484D4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alance Sheet" sheetId="3" r:id="rId1"/>
    <sheet name="Profit and Loss" sheetId="1" r:id="rId2"/>
    <sheet name="YTD P&amp;L YO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11" i="3"/>
  <c r="B17" i="3" s="1"/>
  <c r="B31" i="3" s="1"/>
  <c r="B13" i="3"/>
  <c r="B14" i="3"/>
  <c r="B15" i="3"/>
  <c r="B16" i="3"/>
  <c r="B19" i="3"/>
  <c r="B20" i="3"/>
  <c r="B21" i="3"/>
  <c r="B23" i="3"/>
  <c r="B24" i="3"/>
  <c r="B25" i="3"/>
  <c r="B27" i="3"/>
  <c r="B28" i="3"/>
  <c r="B29" i="3"/>
  <c r="B30" i="3"/>
  <c r="B36" i="3"/>
  <c r="B37" i="3"/>
  <c r="B39" i="3"/>
  <c r="B40" i="3"/>
  <c r="B41" i="3"/>
  <c r="B42" i="3"/>
  <c r="B43" i="3"/>
  <c r="B45" i="3"/>
  <c r="B47" i="3"/>
  <c r="B48" i="3"/>
  <c r="B49" i="3"/>
  <c r="B50" i="3"/>
  <c r="B51" i="3"/>
  <c r="B53" i="3"/>
  <c r="B54" i="3"/>
  <c r="B55" i="3" s="1"/>
  <c r="B56" i="3" s="1"/>
  <c r="B70" i="3" s="1"/>
  <c r="B58" i="3"/>
  <c r="B59" i="3"/>
  <c r="B60" i="3"/>
  <c r="B61" i="3"/>
  <c r="B62" i="3"/>
  <c r="B63" i="3"/>
  <c r="B64" i="3"/>
  <c r="B65" i="3"/>
  <c r="B66" i="3"/>
  <c r="B67" i="3"/>
  <c r="B68" i="3"/>
  <c r="B69" i="3"/>
  <c r="B8" i="2"/>
  <c r="C8" i="2"/>
  <c r="D8" i="2"/>
  <c r="B9" i="2"/>
  <c r="D9" i="2"/>
  <c r="C10" i="2"/>
  <c r="D10" i="2"/>
  <c r="B11" i="2"/>
  <c r="C11" i="2"/>
  <c r="D11" i="2"/>
  <c r="C12" i="2"/>
  <c r="D12" i="2"/>
  <c r="B13" i="2"/>
  <c r="C13" i="2"/>
  <c r="D13" i="2"/>
  <c r="C14" i="2"/>
  <c r="D14" i="2"/>
  <c r="B15" i="2"/>
  <c r="D15" i="2"/>
  <c r="B16" i="2"/>
  <c r="C16" i="2"/>
  <c r="D16" i="2"/>
  <c r="B17" i="2"/>
  <c r="C17" i="2"/>
  <c r="D17" i="2"/>
  <c r="C18" i="2"/>
  <c r="D18" i="2"/>
  <c r="B19" i="2"/>
  <c r="C19" i="2"/>
  <c r="D19" i="2"/>
  <c r="B20" i="2"/>
  <c r="C20" i="2"/>
  <c r="D20" i="2"/>
  <c r="B22" i="2"/>
  <c r="C22" i="2"/>
  <c r="D22" i="2"/>
  <c r="B23" i="2"/>
  <c r="C23" i="2"/>
  <c r="D23" i="2"/>
  <c r="B24" i="2"/>
  <c r="C24" i="2"/>
  <c r="D24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D31" i="2"/>
  <c r="B32" i="2"/>
  <c r="C32" i="2"/>
  <c r="D32" i="2"/>
  <c r="C33" i="2"/>
  <c r="D33" i="2"/>
  <c r="B34" i="2"/>
  <c r="C34" i="2"/>
  <c r="D34" i="2"/>
  <c r="B35" i="2"/>
  <c r="C35" i="2"/>
  <c r="D35" i="2"/>
  <c r="B36" i="2"/>
  <c r="D36" i="2"/>
  <c r="C37" i="2"/>
  <c r="D37" i="2"/>
  <c r="B38" i="2"/>
  <c r="C38" i="2"/>
  <c r="D38" i="2"/>
  <c r="D39" i="2"/>
  <c r="B40" i="2"/>
  <c r="B71" i="2" s="1"/>
  <c r="C40" i="2"/>
  <c r="C71" i="2" s="1"/>
  <c r="C96" i="2" s="1"/>
  <c r="C97" i="2" s="1"/>
  <c r="C108" i="2" s="1"/>
  <c r="D40" i="2"/>
  <c r="B41" i="2"/>
  <c r="C41" i="2"/>
  <c r="D41" i="2"/>
  <c r="B42" i="2"/>
  <c r="C42" i="2"/>
  <c r="D42" i="2"/>
  <c r="B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D52" i="2"/>
  <c r="B53" i="2"/>
  <c r="C53" i="2"/>
  <c r="D53" i="2"/>
  <c r="B54" i="2"/>
  <c r="D54" i="2" s="1"/>
  <c r="C54" i="2"/>
  <c r="B55" i="2"/>
  <c r="C55" i="2"/>
  <c r="D55" i="2"/>
  <c r="B56" i="2"/>
  <c r="C56" i="2"/>
  <c r="D56" i="2"/>
  <c r="B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C62" i="2"/>
  <c r="D62" i="2"/>
  <c r="B63" i="2"/>
  <c r="C63" i="2"/>
  <c r="D63" i="2"/>
  <c r="B64" i="2"/>
  <c r="C64" i="2"/>
  <c r="D64" i="2"/>
  <c r="B65" i="2"/>
  <c r="C65" i="2"/>
  <c r="D65" i="2"/>
  <c r="C66" i="2"/>
  <c r="D66" i="2"/>
  <c r="B67" i="2"/>
  <c r="C67" i="2"/>
  <c r="D67" i="2"/>
  <c r="B68" i="2"/>
  <c r="D68" i="2"/>
  <c r="B69" i="2"/>
  <c r="C69" i="2"/>
  <c r="D69" i="2"/>
  <c r="B70" i="2"/>
  <c r="D70" i="2"/>
  <c r="D72" i="2"/>
  <c r="B73" i="2"/>
  <c r="C73" i="2"/>
  <c r="D73" i="2"/>
  <c r="B74" i="2"/>
  <c r="C74" i="2"/>
  <c r="D74" i="2"/>
  <c r="B75" i="2"/>
  <c r="C75" i="2"/>
  <c r="D75" i="2"/>
  <c r="D76" i="2"/>
  <c r="B77" i="2"/>
  <c r="C77" i="2"/>
  <c r="D77" i="2"/>
  <c r="B78" i="2"/>
  <c r="C78" i="2"/>
  <c r="D78" i="2"/>
  <c r="C79" i="2"/>
  <c r="D79" i="2"/>
  <c r="B80" i="2"/>
  <c r="C80" i="2"/>
  <c r="D80" i="2"/>
  <c r="C81" i="2"/>
  <c r="D81" i="2"/>
  <c r="C82" i="2"/>
  <c r="D82" i="2"/>
  <c r="C83" i="2"/>
  <c r="D83" i="2"/>
  <c r="C84" i="2"/>
  <c r="D84" i="2"/>
  <c r="C85" i="2"/>
  <c r="D85" i="2"/>
  <c r="B86" i="2"/>
  <c r="C86" i="2"/>
  <c r="D86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D93" i="2"/>
  <c r="C94" i="2"/>
  <c r="D94" i="2"/>
  <c r="B95" i="2"/>
  <c r="C95" i="2"/>
  <c r="D95" i="2"/>
  <c r="C99" i="2"/>
  <c r="D99" i="2"/>
  <c r="B100" i="2"/>
  <c r="C100" i="2"/>
  <c r="D100" i="2"/>
  <c r="B101" i="2"/>
  <c r="C101" i="2"/>
  <c r="C107" i="2" s="1"/>
  <c r="D103" i="2"/>
  <c r="B104" i="2"/>
  <c r="C104" i="2"/>
  <c r="D104" i="2"/>
  <c r="B105" i="2"/>
  <c r="C105" i="2"/>
  <c r="D105" i="2"/>
  <c r="B106" i="2"/>
  <c r="C106" i="2"/>
  <c r="D106" i="2"/>
  <c r="M96" i="1"/>
  <c r="M97" i="1" s="1"/>
  <c r="L96" i="1"/>
  <c r="L97" i="1" s="1"/>
  <c r="K96" i="1"/>
  <c r="K97" i="1" s="1"/>
  <c r="J96" i="1"/>
  <c r="J97" i="1" s="1"/>
  <c r="I96" i="1"/>
  <c r="I97" i="1" s="1"/>
  <c r="H96" i="1"/>
  <c r="H97" i="1" s="1"/>
  <c r="G96" i="1"/>
  <c r="G97" i="1" s="1"/>
  <c r="F96" i="1"/>
  <c r="F97" i="1" s="1"/>
  <c r="E96" i="1"/>
  <c r="E97" i="1" s="1"/>
  <c r="D96" i="1"/>
  <c r="D97" i="1" s="1"/>
  <c r="C96" i="1"/>
  <c r="C97" i="1" s="1"/>
  <c r="B95" i="1"/>
  <c r="N94" i="1"/>
  <c r="M92" i="1"/>
  <c r="M98" i="1" s="1"/>
  <c r="L91" i="1"/>
  <c r="L92" i="1" s="1"/>
  <c r="L98" i="1" s="1"/>
  <c r="K91" i="1"/>
  <c r="K92" i="1" s="1"/>
  <c r="K98" i="1" s="1"/>
  <c r="J91" i="1"/>
  <c r="J92" i="1" s="1"/>
  <c r="J98" i="1" s="1"/>
  <c r="I91" i="1"/>
  <c r="I92" i="1" s="1"/>
  <c r="I98" i="1" s="1"/>
  <c r="H91" i="1"/>
  <c r="H92" i="1" s="1"/>
  <c r="H98" i="1" s="1"/>
  <c r="G91" i="1"/>
  <c r="F91" i="1"/>
  <c r="F92" i="1" s="1"/>
  <c r="F98" i="1" s="1"/>
  <c r="E91" i="1"/>
  <c r="E92" i="1" s="1"/>
  <c r="E98" i="1" s="1"/>
  <c r="D91" i="1"/>
  <c r="D92" i="1" s="1"/>
  <c r="D98" i="1" s="1"/>
  <c r="C91" i="1"/>
  <c r="C92" i="1" s="1"/>
  <c r="C98" i="1" s="1"/>
  <c r="B91" i="1"/>
  <c r="G90" i="1"/>
  <c r="M86" i="1"/>
  <c r="L86" i="1"/>
  <c r="K86" i="1"/>
  <c r="I86" i="1"/>
  <c r="H86" i="1"/>
  <c r="G86" i="1"/>
  <c r="F86" i="1"/>
  <c r="E86" i="1"/>
  <c r="D86" i="1"/>
  <c r="C86" i="1"/>
  <c r="N85" i="1"/>
  <c r="J85" i="1"/>
  <c r="J86" i="1" s="1"/>
  <c r="B84" i="1"/>
  <c r="M82" i="1"/>
  <c r="L82" i="1"/>
  <c r="K82" i="1"/>
  <c r="J82" i="1"/>
  <c r="I82" i="1"/>
  <c r="H82" i="1"/>
  <c r="G82" i="1"/>
  <c r="F82" i="1"/>
  <c r="E82" i="1"/>
  <c r="D82" i="1"/>
  <c r="C82" i="1"/>
  <c r="B82" i="1"/>
  <c r="N82" i="1" s="1"/>
  <c r="M81" i="1"/>
  <c r="M83" i="1" s="1"/>
  <c r="L81" i="1"/>
  <c r="K81" i="1"/>
  <c r="K83" i="1" s="1"/>
  <c r="J81" i="1"/>
  <c r="I81" i="1"/>
  <c r="I83" i="1" s="1"/>
  <c r="H81" i="1"/>
  <c r="H83" i="1" s="1"/>
  <c r="G81" i="1"/>
  <c r="G83" i="1" s="1"/>
  <c r="F81" i="1"/>
  <c r="F83" i="1" s="1"/>
  <c r="E81" i="1"/>
  <c r="E83" i="1" s="1"/>
  <c r="D81" i="1"/>
  <c r="D83" i="1" s="1"/>
  <c r="C81" i="1"/>
  <c r="C83" i="1" s="1"/>
  <c r="B81" i="1"/>
  <c r="L80" i="1"/>
  <c r="L83" i="1" s="1"/>
  <c r="J80" i="1"/>
  <c r="N79" i="1"/>
  <c r="M77" i="1"/>
  <c r="N77" i="1" s="1"/>
  <c r="N76" i="1"/>
  <c r="M76" i="1"/>
  <c r="M75" i="1"/>
  <c r="L75" i="1"/>
  <c r="K75" i="1"/>
  <c r="J75" i="1"/>
  <c r="I75" i="1"/>
  <c r="H75" i="1"/>
  <c r="G75" i="1"/>
  <c r="F75" i="1"/>
  <c r="E75" i="1"/>
  <c r="D75" i="1"/>
  <c r="C75" i="1"/>
  <c r="N75" i="1" s="1"/>
  <c r="M74" i="1"/>
  <c r="N74" i="1" s="1"/>
  <c r="M73" i="1"/>
  <c r="L73" i="1"/>
  <c r="K73" i="1"/>
  <c r="J73" i="1"/>
  <c r="I73" i="1"/>
  <c r="H73" i="1"/>
  <c r="G73" i="1"/>
  <c r="F73" i="1"/>
  <c r="E73" i="1"/>
  <c r="D73" i="1"/>
  <c r="N73" i="1" s="1"/>
  <c r="M72" i="1"/>
  <c r="L72" i="1"/>
  <c r="K72" i="1"/>
  <c r="J72" i="1"/>
  <c r="I72" i="1"/>
  <c r="H72" i="1"/>
  <c r="G72" i="1"/>
  <c r="F72" i="1"/>
  <c r="E72" i="1"/>
  <c r="D72" i="1"/>
  <c r="C72" i="1"/>
  <c r="B72" i="1"/>
  <c r="N72" i="1" s="1"/>
  <c r="M71" i="1"/>
  <c r="L71" i="1"/>
  <c r="K71" i="1"/>
  <c r="N71" i="1" s="1"/>
  <c r="M70" i="1"/>
  <c r="L70" i="1"/>
  <c r="K70" i="1"/>
  <c r="J70" i="1"/>
  <c r="I70" i="1"/>
  <c r="H70" i="1"/>
  <c r="G70" i="1"/>
  <c r="F70" i="1"/>
  <c r="E70" i="1"/>
  <c r="D70" i="1"/>
  <c r="C70" i="1"/>
  <c r="B70" i="1"/>
  <c r="N70" i="1" s="1"/>
  <c r="M69" i="1"/>
  <c r="M78" i="1" s="1"/>
  <c r="L69" i="1"/>
  <c r="L78" i="1" s="1"/>
  <c r="K69" i="1"/>
  <c r="K78" i="1" s="1"/>
  <c r="J69" i="1"/>
  <c r="J78" i="1" s="1"/>
  <c r="I69" i="1"/>
  <c r="I78" i="1" s="1"/>
  <c r="H69" i="1"/>
  <c r="H78" i="1" s="1"/>
  <c r="G69" i="1"/>
  <c r="G78" i="1" s="1"/>
  <c r="F69" i="1"/>
  <c r="F78" i="1" s="1"/>
  <c r="E69" i="1"/>
  <c r="E78" i="1" s="1"/>
  <c r="D69" i="1"/>
  <c r="D78" i="1" s="1"/>
  <c r="C69" i="1"/>
  <c r="C78" i="1" s="1"/>
  <c r="B69" i="1"/>
  <c r="N68" i="1"/>
  <c r="M67" i="1"/>
  <c r="G66" i="1"/>
  <c r="F66" i="1"/>
  <c r="N66" i="1" s="1"/>
  <c r="L65" i="1"/>
  <c r="L67" i="1" s="1"/>
  <c r="K65" i="1"/>
  <c r="K67" i="1" s="1"/>
  <c r="J65" i="1"/>
  <c r="J67" i="1" s="1"/>
  <c r="I65" i="1"/>
  <c r="I67" i="1" s="1"/>
  <c r="H65" i="1"/>
  <c r="H67" i="1" s="1"/>
  <c r="G65" i="1"/>
  <c r="G67" i="1" s="1"/>
  <c r="F65" i="1"/>
  <c r="F67" i="1" s="1"/>
  <c r="E65" i="1"/>
  <c r="E67" i="1" s="1"/>
  <c r="D65" i="1"/>
  <c r="D67" i="1" s="1"/>
  <c r="C65" i="1"/>
  <c r="C67" i="1" s="1"/>
  <c r="B65" i="1"/>
  <c r="N64" i="1"/>
  <c r="M61" i="1"/>
  <c r="M62" i="1" s="1"/>
  <c r="L61" i="1"/>
  <c r="L62" i="1" s="1"/>
  <c r="K61" i="1"/>
  <c r="K62" i="1" s="1"/>
  <c r="J61" i="1"/>
  <c r="J62" i="1" s="1"/>
  <c r="I61" i="1"/>
  <c r="I62" i="1" s="1"/>
  <c r="H61" i="1"/>
  <c r="H62" i="1" s="1"/>
  <c r="G61" i="1"/>
  <c r="G62" i="1" s="1"/>
  <c r="F61" i="1"/>
  <c r="F62" i="1" s="1"/>
  <c r="E61" i="1"/>
  <c r="E62" i="1" s="1"/>
  <c r="D61" i="1"/>
  <c r="C61" i="1"/>
  <c r="C62" i="1" s="1"/>
  <c r="B61" i="1"/>
  <c r="D60" i="1"/>
  <c r="K59" i="1"/>
  <c r="E59" i="1"/>
  <c r="N59" i="1" s="1"/>
  <c r="M58" i="1"/>
  <c r="J58" i="1"/>
  <c r="D58" i="1"/>
  <c r="C58" i="1"/>
  <c r="N58" i="1" s="1"/>
  <c r="M56" i="1"/>
  <c r="L56" i="1"/>
  <c r="K56" i="1"/>
  <c r="J56" i="1"/>
  <c r="I56" i="1"/>
  <c r="H56" i="1"/>
  <c r="G56" i="1"/>
  <c r="F56" i="1"/>
  <c r="E56" i="1"/>
  <c r="D56" i="1"/>
  <c r="C56" i="1"/>
  <c r="N56" i="1" s="1"/>
  <c r="M55" i="1"/>
  <c r="M57" i="1" s="1"/>
  <c r="L55" i="1"/>
  <c r="L57" i="1" s="1"/>
  <c r="K55" i="1"/>
  <c r="K57" i="1" s="1"/>
  <c r="J55" i="1"/>
  <c r="J57" i="1" s="1"/>
  <c r="I55" i="1"/>
  <c r="I57" i="1" s="1"/>
  <c r="H55" i="1"/>
  <c r="H57" i="1" s="1"/>
  <c r="G55" i="1"/>
  <c r="G57" i="1" s="1"/>
  <c r="F55" i="1"/>
  <c r="F57" i="1" s="1"/>
  <c r="E55" i="1"/>
  <c r="E57" i="1" s="1"/>
  <c r="D55" i="1"/>
  <c r="D57" i="1" s="1"/>
  <c r="C55" i="1"/>
  <c r="C57" i="1" s="1"/>
  <c r="B55" i="1"/>
  <c r="C54" i="1"/>
  <c r="B54" i="1"/>
  <c r="M53" i="1"/>
  <c r="M54" i="1" s="1"/>
  <c r="L53" i="1"/>
  <c r="L54" i="1" s="1"/>
  <c r="K53" i="1"/>
  <c r="K54" i="1" s="1"/>
  <c r="J53" i="1"/>
  <c r="J54" i="1" s="1"/>
  <c r="I53" i="1"/>
  <c r="I54" i="1" s="1"/>
  <c r="H53" i="1"/>
  <c r="H54" i="1" s="1"/>
  <c r="G53" i="1"/>
  <c r="G54" i="1" s="1"/>
  <c r="F53" i="1"/>
  <c r="F54" i="1" s="1"/>
  <c r="E53" i="1"/>
  <c r="E54" i="1" s="1"/>
  <c r="D53" i="1"/>
  <c r="C53" i="1"/>
  <c r="B53" i="1"/>
  <c r="M52" i="1"/>
  <c r="L52" i="1"/>
  <c r="D52" i="1"/>
  <c r="N52" i="1" s="1"/>
  <c r="M51" i="1"/>
  <c r="L51" i="1"/>
  <c r="K51" i="1"/>
  <c r="J51" i="1"/>
  <c r="I51" i="1"/>
  <c r="H51" i="1"/>
  <c r="G51" i="1"/>
  <c r="F51" i="1"/>
  <c r="E51" i="1"/>
  <c r="D51" i="1"/>
  <c r="C51" i="1"/>
  <c r="B51" i="1"/>
  <c r="N51" i="1" s="1"/>
  <c r="M50" i="1"/>
  <c r="L50" i="1"/>
  <c r="K50" i="1"/>
  <c r="J50" i="1"/>
  <c r="I50" i="1"/>
  <c r="H50" i="1"/>
  <c r="G50" i="1"/>
  <c r="F50" i="1"/>
  <c r="E50" i="1"/>
  <c r="D50" i="1"/>
  <c r="C50" i="1"/>
  <c r="B50" i="1"/>
  <c r="N50" i="1" s="1"/>
  <c r="M49" i="1"/>
  <c r="L49" i="1"/>
  <c r="I49" i="1"/>
  <c r="G49" i="1"/>
  <c r="B49" i="1"/>
  <c r="K48" i="1"/>
  <c r="K49" i="1" s="1"/>
  <c r="J48" i="1"/>
  <c r="J49" i="1" s="1"/>
  <c r="H48" i="1"/>
  <c r="H49" i="1" s="1"/>
  <c r="F48" i="1"/>
  <c r="F49" i="1" s="1"/>
  <c r="E48" i="1"/>
  <c r="E49" i="1" s="1"/>
  <c r="D48" i="1"/>
  <c r="D49" i="1" s="1"/>
  <c r="C48" i="1"/>
  <c r="N47" i="1"/>
  <c r="M46" i="1"/>
  <c r="L46" i="1"/>
  <c r="K46" i="1"/>
  <c r="J46" i="1"/>
  <c r="I46" i="1"/>
  <c r="H46" i="1"/>
  <c r="G46" i="1"/>
  <c r="F46" i="1"/>
  <c r="E46" i="1"/>
  <c r="D46" i="1"/>
  <c r="C46" i="1"/>
  <c r="B46" i="1"/>
  <c r="N46" i="1" s="1"/>
  <c r="C45" i="1"/>
  <c r="N45" i="1" s="1"/>
  <c r="G44" i="1"/>
  <c r="N44" i="1" s="1"/>
  <c r="J43" i="1"/>
  <c r="N43" i="1" s="1"/>
  <c r="M42" i="1"/>
  <c r="L42" i="1"/>
  <c r="K42" i="1"/>
  <c r="J42" i="1"/>
  <c r="I42" i="1"/>
  <c r="H42" i="1"/>
  <c r="G42" i="1"/>
  <c r="F42" i="1"/>
  <c r="E42" i="1"/>
  <c r="D42" i="1"/>
  <c r="C42" i="1"/>
  <c r="B42" i="1"/>
  <c r="N42" i="1" s="1"/>
  <c r="C41" i="1"/>
  <c r="N41" i="1" s="1"/>
  <c r="M39" i="1"/>
  <c r="L39" i="1"/>
  <c r="K39" i="1"/>
  <c r="J39" i="1"/>
  <c r="I39" i="1"/>
  <c r="H39" i="1"/>
  <c r="G39" i="1"/>
  <c r="F39" i="1"/>
  <c r="E39" i="1"/>
  <c r="D39" i="1"/>
  <c r="C39" i="1"/>
  <c r="B39" i="1"/>
  <c r="N39" i="1" s="1"/>
  <c r="M38" i="1"/>
  <c r="M40" i="1" s="1"/>
  <c r="L38" i="1"/>
  <c r="L40" i="1" s="1"/>
  <c r="K38" i="1"/>
  <c r="J38" i="1"/>
  <c r="J40" i="1" s="1"/>
  <c r="J63" i="1" s="1"/>
  <c r="I38" i="1"/>
  <c r="I40" i="1" s="1"/>
  <c r="I63" i="1" s="1"/>
  <c r="H38" i="1"/>
  <c r="H40" i="1" s="1"/>
  <c r="H63" i="1" s="1"/>
  <c r="G38" i="1"/>
  <c r="G40" i="1" s="1"/>
  <c r="G63" i="1" s="1"/>
  <c r="F38" i="1"/>
  <c r="F40" i="1" s="1"/>
  <c r="F63" i="1" s="1"/>
  <c r="E38" i="1"/>
  <c r="E40" i="1" s="1"/>
  <c r="E63" i="1" s="1"/>
  <c r="D38" i="1"/>
  <c r="D40" i="1" s="1"/>
  <c r="C38" i="1"/>
  <c r="B38" i="1"/>
  <c r="K37" i="1"/>
  <c r="K40" i="1" s="1"/>
  <c r="K63" i="1" s="1"/>
  <c r="C37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I34" i="1"/>
  <c r="K33" i="1"/>
  <c r="H33" i="1"/>
  <c r="F33" i="1"/>
  <c r="E33" i="1"/>
  <c r="N33" i="1" s="1"/>
  <c r="M32" i="1"/>
  <c r="L32" i="1"/>
  <c r="D32" i="1"/>
  <c r="C32" i="1"/>
  <c r="C34" i="1" s="1"/>
  <c r="B32" i="1"/>
  <c r="N32" i="1" s="1"/>
  <c r="L31" i="1"/>
  <c r="K31" i="1"/>
  <c r="K34" i="1" s="1"/>
  <c r="H31" i="1"/>
  <c r="G31" i="1"/>
  <c r="F31" i="1"/>
  <c r="E31" i="1"/>
  <c r="D31" i="1"/>
  <c r="D34" i="1" s="1"/>
  <c r="B31" i="1"/>
  <c r="N30" i="1"/>
  <c r="L30" i="1"/>
  <c r="L34" i="1" s="1"/>
  <c r="M29" i="1"/>
  <c r="M34" i="1" s="1"/>
  <c r="J29" i="1"/>
  <c r="J34" i="1" s="1"/>
  <c r="H29" i="1"/>
  <c r="H34" i="1" s="1"/>
  <c r="G29" i="1"/>
  <c r="G34" i="1" s="1"/>
  <c r="F29" i="1"/>
  <c r="F34" i="1" s="1"/>
  <c r="E29" i="1"/>
  <c r="N28" i="1"/>
  <c r="K26" i="1"/>
  <c r="J26" i="1"/>
  <c r="I26" i="1"/>
  <c r="H26" i="1"/>
  <c r="G26" i="1"/>
  <c r="F26" i="1"/>
  <c r="E26" i="1"/>
  <c r="D26" i="1"/>
  <c r="C26" i="1"/>
  <c r="B26" i="1"/>
  <c r="N26" i="1" s="1"/>
  <c r="L25" i="1"/>
  <c r="K25" i="1"/>
  <c r="J25" i="1"/>
  <c r="I25" i="1"/>
  <c r="H25" i="1"/>
  <c r="G25" i="1"/>
  <c r="F25" i="1"/>
  <c r="D25" i="1"/>
  <c r="B25" i="1"/>
  <c r="N25" i="1" s="1"/>
  <c r="M24" i="1"/>
  <c r="J24" i="1"/>
  <c r="I24" i="1"/>
  <c r="N24" i="1" s="1"/>
  <c r="M23" i="1"/>
  <c r="M27" i="1" s="1"/>
  <c r="L23" i="1"/>
  <c r="L27" i="1" s="1"/>
  <c r="K23" i="1"/>
  <c r="K27" i="1" s="1"/>
  <c r="K87" i="1" s="1"/>
  <c r="J23" i="1"/>
  <c r="J27" i="1" s="1"/>
  <c r="I23" i="1"/>
  <c r="I27" i="1" s="1"/>
  <c r="I87" i="1" s="1"/>
  <c r="H23" i="1"/>
  <c r="H27" i="1" s="1"/>
  <c r="H87" i="1" s="1"/>
  <c r="G23" i="1"/>
  <c r="G27" i="1" s="1"/>
  <c r="G87" i="1" s="1"/>
  <c r="F23" i="1"/>
  <c r="F27" i="1" s="1"/>
  <c r="F87" i="1" s="1"/>
  <c r="E23" i="1"/>
  <c r="E27" i="1" s="1"/>
  <c r="D23" i="1"/>
  <c r="D27" i="1" s="1"/>
  <c r="C23" i="1"/>
  <c r="C27" i="1" s="1"/>
  <c r="B23" i="1"/>
  <c r="M19" i="1"/>
  <c r="M20" i="1" s="1"/>
  <c r="L19" i="1"/>
  <c r="L20" i="1" s="1"/>
  <c r="K19" i="1"/>
  <c r="K20" i="1" s="1"/>
  <c r="J19" i="1"/>
  <c r="J20" i="1" s="1"/>
  <c r="I19" i="1"/>
  <c r="I20" i="1" s="1"/>
  <c r="H19" i="1"/>
  <c r="H20" i="1" s="1"/>
  <c r="G19" i="1"/>
  <c r="G20" i="1" s="1"/>
  <c r="F19" i="1"/>
  <c r="F20" i="1" s="1"/>
  <c r="E19" i="1"/>
  <c r="E20" i="1" s="1"/>
  <c r="D19" i="1"/>
  <c r="D20" i="1" s="1"/>
  <c r="C19" i="1"/>
  <c r="C20" i="1" s="1"/>
  <c r="B19" i="1"/>
  <c r="I17" i="1"/>
  <c r="I21" i="1" s="1"/>
  <c r="I88" i="1" s="1"/>
  <c r="I99" i="1" s="1"/>
  <c r="H17" i="1"/>
  <c r="H21" i="1" s="1"/>
  <c r="H88" i="1" s="1"/>
  <c r="H99" i="1" s="1"/>
  <c r="G17" i="1"/>
  <c r="G21" i="1" s="1"/>
  <c r="G88" i="1" s="1"/>
  <c r="F17" i="1"/>
  <c r="F21" i="1" s="1"/>
  <c r="F88" i="1" s="1"/>
  <c r="F99" i="1" s="1"/>
  <c r="E17" i="1"/>
  <c r="E21" i="1" s="1"/>
  <c r="D17" i="1"/>
  <c r="D21" i="1" s="1"/>
  <c r="C17" i="1"/>
  <c r="C21" i="1" s="1"/>
  <c r="B17" i="1"/>
  <c r="M16" i="1"/>
  <c r="M17" i="1" s="1"/>
  <c r="M21" i="1" s="1"/>
  <c r="L16" i="1"/>
  <c r="L17" i="1" s="1"/>
  <c r="L21" i="1" s="1"/>
  <c r="K16" i="1"/>
  <c r="K17" i="1" s="1"/>
  <c r="K21" i="1" s="1"/>
  <c r="K88" i="1" s="1"/>
  <c r="K99" i="1" s="1"/>
  <c r="J16" i="1"/>
  <c r="I16" i="1"/>
  <c r="H16" i="1"/>
  <c r="G16" i="1"/>
  <c r="F16" i="1"/>
  <c r="E16" i="1"/>
  <c r="D16" i="1"/>
  <c r="C16" i="1"/>
  <c r="B16" i="1"/>
  <c r="M15" i="1"/>
  <c r="L15" i="1"/>
  <c r="K15" i="1"/>
  <c r="J15" i="1"/>
  <c r="I15" i="1"/>
  <c r="H15" i="1"/>
  <c r="G15" i="1"/>
  <c r="F15" i="1"/>
  <c r="E15" i="1"/>
  <c r="D15" i="1"/>
  <c r="N15" i="1" s="1"/>
  <c r="M14" i="1"/>
  <c r="L14" i="1"/>
  <c r="K14" i="1"/>
  <c r="J14" i="1"/>
  <c r="I14" i="1"/>
  <c r="H14" i="1"/>
  <c r="G14" i="1"/>
  <c r="F14" i="1"/>
  <c r="E14" i="1"/>
  <c r="D14" i="1"/>
  <c r="C14" i="1"/>
  <c r="B14" i="1"/>
  <c r="N14" i="1" s="1"/>
  <c r="M13" i="1"/>
  <c r="L13" i="1"/>
  <c r="K13" i="1"/>
  <c r="J13" i="1"/>
  <c r="I13" i="1"/>
  <c r="H13" i="1"/>
  <c r="G13" i="1"/>
  <c r="F13" i="1"/>
  <c r="E13" i="1"/>
  <c r="D13" i="1"/>
  <c r="C13" i="1"/>
  <c r="B13" i="1"/>
  <c r="N13" i="1" s="1"/>
  <c r="M12" i="1"/>
  <c r="L12" i="1"/>
  <c r="K12" i="1"/>
  <c r="J12" i="1"/>
  <c r="I12" i="1"/>
  <c r="H12" i="1"/>
  <c r="G12" i="1"/>
  <c r="F12" i="1"/>
  <c r="D12" i="1"/>
  <c r="N12" i="1" s="1"/>
  <c r="M11" i="1"/>
  <c r="L11" i="1"/>
  <c r="K11" i="1"/>
  <c r="J11" i="1"/>
  <c r="I11" i="1"/>
  <c r="H11" i="1"/>
  <c r="G11" i="1"/>
  <c r="F11" i="1"/>
  <c r="E11" i="1"/>
  <c r="D11" i="1"/>
  <c r="C11" i="1"/>
  <c r="B11" i="1"/>
  <c r="N11" i="1" s="1"/>
  <c r="L10" i="1"/>
  <c r="N10" i="1" s="1"/>
  <c r="M9" i="1"/>
  <c r="L9" i="1"/>
  <c r="K9" i="1"/>
  <c r="J9" i="1"/>
  <c r="I9" i="1"/>
  <c r="H9" i="1"/>
  <c r="G9" i="1"/>
  <c r="F9" i="1"/>
  <c r="E9" i="1"/>
  <c r="D9" i="1"/>
  <c r="C9" i="1"/>
  <c r="B9" i="1"/>
  <c r="N9" i="1" s="1"/>
  <c r="I8" i="1"/>
  <c r="H8" i="1"/>
  <c r="N8" i="1" s="1"/>
  <c r="M7" i="1"/>
  <c r="L7" i="1"/>
  <c r="K7" i="1"/>
  <c r="J7" i="1"/>
  <c r="I7" i="1"/>
  <c r="H7" i="1"/>
  <c r="G7" i="1"/>
  <c r="F7" i="1"/>
  <c r="E7" i="1"/>
  <c r="D7" i="1"/>
  <c r="C7" i="1"/>
  <c r="B7" i="1"/>
  <c r="N7" i="1" s="1"/>
  <c r="B96" i="2" l="1"/>
  <c r="D71" i="2"/>
  <c r="D101" i="2"/>
  <c r="B107" i="2"/>
  <c r="D107" i="2" s="1"/>
  <c r="B96" i="1"/>
  <c r="N95" i="1"/>
  <c r="B92" i="1"/>
  <c r="N91" i="1"/>
  <c r="G92" i="1"/>
  <c r="G98" i="1" s="1"/>
  <c r="G99" i="1" s="1"/>
  <c r="N90" i="1"/>
  <c r="B86" i="1"/>
  <c r="N86" i="1" s="1"/>
  <c r="N84" i="1"/>
  <c r="B83" i="1"/>
  <c r="N81" i="1"/>
  <c r="N80" i="1"/>
  <c r="J83" i="1"/>
  <c r="J87" i="1" s="1"/>
  <c r="B78" i="1"/>
  <c r="N78" i="1" s="1"/>
  <c r="N69" i="1"/>
  <c r="B67" i="1"/>
  <c r="N67" i="1" s="1"/>
  <c r="N65" i="1"/>
  <c r="B62" i="1"/>
  <c r="B63" i="1" s="1"/>
  <c r="N61" i="1"/>
  <c r="N60" i="1"/>
  <c r="D62" i="1"/>
  <c r="N55" i="1"/>
  <c r="B57" i="1"/>
  <c r="N57" i="1" s="1"/>
  <c r="N53" i="1"/>
  <c r="D54" i="1"/>
  <c r="C49" i="1"/>
  <c r="N49" i="1" s="1"/>
  <c r="N48" i="1"/>
  <c r="B40" i="1"/>
  <c r="N38" i="1"/>
  <c r="N37" i="1"/>
  <c r="C40" i="1"/>
  <c r="C63" i="1" s="1"/>
  <c r="C87" i="1" s="1"/>
  <c r="C88" i="1" s="1"/>
  <c r="C99" i="1" s="1"/>
  <c r="N36" i="1"/>
  <c r="N31" i="1"/>
  <c r="B34" i="1"/>
  <c r="N29" i="1"/>
  <c r="E34" i="1"/>
  <c r="E87" i="1" s="1"/>
  <c r="E88" i="1" s="1"/>
  <c r="E99" i="1" s="1"/>
  <c r="B27" i="1"/>
  <c r="N23" i="1"/>
  <c r="N19" i="1"/>
  <c r="B20" i="1"/>
  <c r="N20" i="1" s="1"/>
  <c r="B21" i="1"/>
  <c r="J17" i="1"/>
  <c r="N16" i="1"/>
  <c r="M63" i="1"/>
  <c r="M87" i="1" s="1"/>
  <c r="M88" i="1" s="1"/>
  <c r="M99" i="1" s="1"/>
  <c r="L63" i="1"/>
  <c r="L87" i="1" s="1"/>
  <c r="L88" i="1" s="1"/>
  <c r="L99" i="1" s="1"/>
  <c r="B97" i="2" l="1"/>
  <c r="D96" i="2"/>
  <c r="N96" i="1"/>
  <c r="B97" i="1"/>
  <c r="N97" i="1" s="1"/>
  <c r="N92" i="1"/>
  <c r="B98" i="1"/>
  <c r="N98" i="1" s="1"/>
  <c r="N54" i="1"/>
  <c r="D63" i="1"/>
  <c r="N27" i="1"/>
  <c r="B87" i="1"/>
  <c r="B88" i="1" s="1"/>
  <c r="N21" i="1"/>
  <c r="N83" i="1"/>
  <c r="N40" i="1"/>
  <c r="N34" i="1"/>
  <c r="N62" i="1"/>
  <c r="J21" i="1"/>
  <c r="J88" i="1" s="1"/>
  <c r="J99" i="1" s="1"/>
  <c r="N17" i="1"/>
  <c r="D97" i="2" l="1"/>
  <c r="B108" i="2"/>
  <c r="D108" i="2" s="1"/>
  <c r="N63" i="1"/>
  <c r="D87" i="1"/>
  <c r="B99" i="1"/>
  <c r="N87" i="1" l="1"/>
  <c r="D88" i="1"/>
  <c r="N88" i="1" l="1"/>
  <c r="D99" i="1"/>
  <c r="N99" i="1" s="1"/>
</calcChain>
</file>

<file path=xl/sharedStrings.xml><?xml version="1.0" encoding="utf-8"?>
<sst xmlns="http://schemas.openxmlformats.org/spreadsheetml/2006/main" count="298" uniqueCount="199">
  <si>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</si>
  <si>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</si>
  <si>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</si>
  <si>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</si>
  <si>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</si>
  <si>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</si>
  <si>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</si>
  <si>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</si>
  <si>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</si>
  <si>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</si>
  <si>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</si>
  <si>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</si>
  <si>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</si>
  <si>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>Income</t>
  </si>
  <si>
    <t xml:space="preserve">   Apparel Sales</t>
  </si>
  <si>
    <t xml:space="preserve">   Dollar Promo</t>
  </si>
  <si>
    <t xml:space="preserve">   Drop In Sales</t>
  </si>
  <si>
    <t xml:space="preserve">   Event Income</t>
  </si>
  <si>
    <t xml:space="preserve">   Membership</t>
  </si>
  <si>
    <t xml:space="preserve">   Mobile Private Training</t>
  </si>
  <si>
    <t xml:space="preserve">   Refunds</t>
  </si>
  <si>
    <t xml:space="preserve">   Rental Income</t>
  </si>
  <si>
    <t xml:space="preserve">   Semi Private Training</t>
  </si>
  <si>
    <t xml:space="preserve">   Vending Sales</t>
  </si>
  <si>
    <t>Total Income</t>
  </si>
  <si>
    <t>Cost of Goods Sold</t>
  </si>
  <si>
    <t xml:space="preserve">   Cost of goods sold</t>
  </si>
  <si>
    <t>Total Cost of Goods Sold</t>
  </si>
  <si>
    <t>Gross Profit</t>
  </si>
  <si>
    <t>Expenses</t>
  </si>
  <si>
    <t xml:space="preserve">   Advertising &amp; marketing</t>
  </si>
  <si>
    <t xml:space="preserve">      Media</t>
  </si>
  <si>
    <t xml:space="preserve">      Photography &amp; Videography</t>
  </si>
  <si>
    <t xml:space="preserve">      Website ads</t>
  </si>
  <si>
    <t xml:space="preserve">   Total Advertising &amp; marketing</t>
  </si>
  <si>
    <t xml:space="preserve">   Crossfit Expenses</t>
  </si>
  <si>
    <t xml:space="preserve">      Coaches Attire</t>
  </si>
  <si>
    <t xml:space="preserve">      Events/Competitions</t>
  </si>
  <si>
    <t xml:space="preserve">      Gym Equipment</t>
  </si>
  <si>
    <t xml:space="preserve">      Hosted Events</t>
  </si>
  <si>
    <t xml:space="preserve">      Training Courses</t>
  </si>
  <si>
    <t xml:space="preserve">   Total Crossfit Expenses</t>
  </si>
  <si>
    <t xml:space="preserve">   General business expenses</t>
  </si>
  <si>
    <t xml:space="preserve">      Accounting fees</t>
  </si>
  <si>
    <t xml:space="preserve">      Bank fees &amp; service charges</t>
  </si>
  <si>
    <t xml:space="preserve">         Square Fees</t>
  </si>
  <si>
    <t xml:space="preserve">         Wodify Fees</t>
  </si>
  <si>
    <t xml:space="preserve">      Total Bank fees &amp; service charges</t>
  </si>
  <si>
    <t xml:space="preserve">      Business licenses</t>
  </si>
  <si>
    <t xml:space="preserve">      Cleaning Expense</t>
  </si>
  <si>
    <t xml:space="preserve">      Contributions to charities</t>
  </si>
  <si>
    <t xml:space="preserve">      Entertainment</t>
  </si>
  <si>
    <t xml:space="preserve">      Gifts</t>
  </si>
  <si>
    <t xml:space="preserve">      Insurance</t>
  </si>
  <si>
    <t xml:space="preserve">      Meals</t>
  </si>
  <si>
    <t xml:space="preserve">         Team meals</t>
  </si>
  <si>
    <t xml:space="preserve">      Total Meals</t>
  </si>
  <si>
    <t xml:space="preserve">      Memberships &amp; subscriptions</t>
  </si>
  <si>
    <t xml:space="preserve">      Office expenses</t>
  </si>
  <si>
    <t xml:space="preserve">         Shipping &amp; postage</t>
  </si>
  <si>
    <t xml:space="preserve">         Software &amp; apps</t>
  </si>
  <si>
    <t xml:space="preserve">      Total Office expenses</t>
  </si>
  <si>
    <t xml:space="preserve">      Rent</t>
  </si>
  <si>
    <t xml:space="preserve">         Equipment rental</t>
  </si>
  <si>
    <t xml:space="preserve">      Total Rent</t>
  </si>
  <si>
    <t xml:space="preserve">      Repairs &amp; maintenance</t>
  </si>
  <si>
    <t xml:space="preserve">      Taxes paid</t>
  </si>
  <si>
    <t xml:space="preserve">      Utilities</t>
  </si>
  <si>
    <t xml:space="preserve">         Internet &amp; TV services</t>
  </si>
  <si>
    <t xml:space="preserve">      Total Utilities</t>
  </si>
  <si>
    <t xml:space="preserve">   Total General business expenses</t>
  </si>
  <si>
    <t xml:space="preserve">   Interest paid</t>
  </si>
  <si>
    <t xml:space="preserve">      Business loan interest</t>
  </si>
  <si>
    <t xml:space="preserve">      Investor Interest</t>
  </si>
  <si>
    <t xml:space="preserve">   Total Interest paid</t>
  </si>
  <si>
    <t xml:space="preserve">   Payroll expenses</t>
  </si>
  <si>
    <t xml:space="preserve">      Administrative Pay</t>
  </si>
  <si>
    <t xml:space="preserve">      Coaching Pay</t>
  </si>
  <si>
    <t xml:space="preserve">      Contract labor</t>
  </si>
  <si>
    <t xml:space="preserve">      Elements/Intros Pay</t>
  </si>
  <si>
    <t xml:space="preserve">      Mobile Pay</t>
  </si>
  <si>
    <t xml:space="preserve">      Payroll taxes</t>
  </si>
  <si>
    <t xml:space="preserve">      Platinum Pay</t>
  </si>
  <si>
    <t xml:space="preserve">      Salaries &amp; wages</t>
  </si>
  <si>
    <t xml:space="preserve">      Workers' compensation insurance</t>
  </si>
  <si>
    <t xml:space="preserve">   Total Payroll expenses</t>
  </si>
  <si>
    <t xml:space="preserve">   Supplies</t>
  </si>
  <si>
    <t xml:space="preserve">      Apparel Supplies</t>
  </si>
  <si>
    <t xml:space="preserve">      Gym Supplies</t>
  </si>
  <si>
    <t xml:space="preserve">      Vending Supplies</t>
  </si>
  <si>
    <t xml:space="preserve">   Total Supplies</t>
  </si>
  <si>
    <t xml:space="preserve">   Travel for Events</t>
  </si>
  <si>
    <t xml:space="preserve">      Taxis or shared rides</t>
  </si>
  <si>
    <t xml:space="preserve">   Total Travel for Events</t>
  </si>
  <si>
    <t>Total Expenses</t>
  </si>
  <si>
    <t>Net Operating Income</t>
  </si>
  <si>
    <t>Other Income</t>
  </si>
  <si>
    <t xml:space="preserve">   Credit card rewards</t>
  </si>
  <si>
    <t xml:space="preserve">   Interest earned</t>
  </si>
  <si>
    <t>Total Other Income</t>
  </si>
  <si>
    <t>Other Expenses</t>
  </si>
  <si>
    <t xml:space="preserve">   Vehicle expenses</t>
  </si>
  <si>
    <t xml:space="preserve">      Parking &amp; tolls</t>
  </si>
  <si>
    <t xml:space="preserve">   Total Vehicle expenses</t>
  </si>
  <si>
    <t>Total Other Expenses</t>
  </si>
  <si>
    <t>Net Other Income</t>
  </si>
  <si>
    <t>Net Income</t>
  </si>
  <si>
    <t>Tuesday, Jan 06, 2026 07:54:24 PM GMT-8 - Accrual Basis</t>
  </si>
  <si>
    <t>CrossFit East Nashville</t>
  </si>
  <si>
    <t>Profit and Loss</t>
  </si>
  <si>
    <t>January - December 2025</t>
  </si>
  <si>
    <t>Expensed all apparel.</t>
  </si>
  <si>
    <t>$1600 Gymmembermachine</t>
  </si>
  <si>
    <t>Barbell Voodoo 2 payments</t>
  </si>
  <si>
    <t>Credit Card points recorded here</t>
  </si>
  <si>
    <t>Tuesday, Jan 06, 2026 07:57:30 PM GMT-8 - Accrual Basis</t>
  </si>
  <si>
    <t xml:space="preserve">      Airfare</t>
  </si>
  <si>
    <t xml:space="preserve">      Website</t>
  </si>
  <si>
    <t xml:space="preserve">         Phone service</t>
  </si>
  <si>
    <t xml:space="preserve">         Office supplies</t>
  </si>
  <si>
    <t xml:space="preserve">         Stripe Fees</t>
  </si>
  <si>
    <t xml:space="preserve">      Programming</t>
  </si>
  <si>
    <t xml:space="preserve">   Personal Training</t>
  </si>
  <si>
    <t xml:space="preserve">   Clinic Income</t>
  </si>
  <si>
    <t>% Change</t>
  </si>
  <si>
    <t>Jan - Dec 2025</t>
  </si>
  <si>
    <t>Jan - Dec 2024 (PY)</t>
  </si>
  <si>
    <t>Tuesday, Jan 06, 2026 07:58:38 PM GMT-8 - Accrual Basis</t>
  </si>
  <si>
    <t>TOTAL LIABILITIES AND EQUITY</t>
  </si>
  <si>
    <t xml:space="preserve">   Total Equity</t>
  </si>
  <si>
    <t xml:space="preserve">      Net Income</t>
  </si>
  <si>
    <t xml:space="preserve">      Steven Longcrier</t>
  </si>
  <si>
    <t xml:space="preserve">      Robert Clifton</t>
  </si>
  <si>
    <t xml:space="preserve">      Retained Earnings</t>
  </si>
  <si>
    <t xml:space="preserve">      Opening balance equity</t>
  </si>
  <si>
    <t xml:space="preserve">      Jon &amp; Jordyn Schumm</t>
  </si>
  <si>
    <t xml:space="preserve">      Jay Lee</t>
  </si>
  <si>
    <t xml:space="preserve">      Demi Maslowski</t>
  </si>
  <si>
    <t xml:space="preserve">      Christian Longcrier</t>
  </si>
  <si>
    <t xml:space="preserve">      Brett Lee</t>
  </si>
  <si>
    <t xml:space="preserve">      Bob Elrod</t>
  </si>
  <si>
    <t xml:space="preserve">   Equity</t>
  </si>
  <si>
    <t xml:space="preserve">   Total Liabilities</t>
  </si>
  <si>
    <t xml:space="preserve">      Total Long-Term Liabilities</t>
  </si>
  <si>
    <t xml:space="preserve">         Long-term loans from partners</t>
  </si>
  <si>
    <t xml:space="preserve">         Long-term business loans</t>
  </si>
  <si>
    <t xml:space="preserve">      Long-Term Liabilities</t>
  </si>
  <si>
    <t xml:space="preserve">      Total Current Liabilities</t>
  </si>
  <si>
    <t xml:space="preserve">         Total Other Current Liabilities</t>
  </si>
  <si>
    <t xml:space="preserve">            Sales tax to pay</t>
  </si>
  <si>
    <t xml:space="preserve">            Total Payroll wages and tax to pay</t>
  </si>
  <si>
    <t xml:space="preserve">               Payroll tax to pay</t>
  </si>
  <si>
    <t xml:space="preserve">            Payroll wages and tax to pay</t>
  </si>
  <si>
    <t xml:space="preserve">            Accrued Expenses</t>
  </si>
  <si>
    <t xml:space="preserve">         Other Current Liabilities</t>
  </si>
  <si>
    <t xml:space="preserve">         Total Credit Cards</t>
  </si>
  <si>
    <t xml:space="preserve">            REAL ESTATE-COMML (5068) - 1</t>
  </si>
  <si>
    <t xml:space="preserve">            Jordyn (6273) - 2</t>
  </si>
  <si>
    <t xml:space="preserve">            J. SCHUMM (6299) - 2</t>
  </si>
  <si>
    <t xml:space="preserve">            C. LONGCRIER (6281) - 2</t>
  </si>
  <si>
    <t xml:space="preserve">         Credit Cards</t>
  </si>
  <si>
    <t xml:space="preserve">         Total Accounts Payable</t>
  </si>
  <si>
    <t xml:space="preserve">            Accounts Payable (A/P)</t>
  </si>
  <si>
    <t xml:space="preserve">         Accounts Payable</t>
  </si>
  <si>
    <t xml:space="preserve">      Current Liabilities</t>
  </si>
  <si>
    <t xml:space="preserve">   Liabilities</t>
  </si>
  <si>
    <t>LIABILITIES AND EQUITY</t>
  </si>
  <si>
    <t>TOTAL ASSETS</t>
  </si>
  <si>
    <t xml:space="preserve">   Total Other Assets</t>
  </si>
  <si>
    <t xml:space="preserve">      Security deposits</t>
  </si>
  <si>
    <t xml:space="preserve">      Loan Fees</t>
  </si>
  <si>
    <t xml:space="preserve">      Goodwill</t>
  </si>
  <si>
    <t xml:space="preserve">   Other Assets</t>
  </si>
  <si>
    <t xml:space="preserve">   Total Fixed Assets</t>
  </si>
  <si>
    <t xml:space="preserve">      Total Improvements</t>
  </si>
  <si>
    <t xml:space="preserve">         Gym Improvements</t>
  </si>
  <si>
    <t xml:space="preserve">      Improvements</t>
  </si>
  <si>
    <t xml:space="preserve">      Equipment</t>
  </si>
  <si>
    <t xml:space="preserve">      Accumulated depreciation</t>
  </si>
  <si>
    <t xml:space="preserve">      Accumulated amortization</t>
  </si>
  <si>
    <t xml:space="preserve">   Fixed Assets</t>
  </si>
  <si>
    <t xml:space="preserve">   Total Current Assets</t>
  </si>
  <si>
    <t xml:space="preserve">      Total Other Current Assets</t>
  </si>
  <si>
    <t xml:space="preserve">         Prepaid expenses</t>
  </si>
  <si>
    <t xml:space="preserve">         Payments to deposit</t>
  </si>
  <si>
    <t xml:space="preserve">         Inventory Asset</t>
  </si>
  <si>
    <t xml:space="preserve">      Other Current Assets</t>
  </si>
  <si>
    <t xml:space="preserve">      Total Bank Accounts</t>
  </si>
  <si>
    <t xml:space="preserve">         Live Oak Bank</t>
  </si>
  <si>
    <t xml:space="preserve">         Checking (7608)</t>
  </si>
  <si>
    <t xml:space="preserve">      Bank Accounts</t>
  </si>
  <si>
    <t xml:space="preserve">   Current Assets</t>
  </si>
  <si>
    <t>ASSETS</t>
  </si>
  <si>
    <t>As of December 31, 2025</t>
  </si>
  <si>
    <t>Balance Sheet</t>
  </si>
  <si>
    <t>Need Dec statement</t>
  </si>
  <si>
    <t>Need Live Oak statement</t>
  </si>
  <si>
    <t>December revenue received in January</t>
  </si>
  <si>
    <t>Need to update this to new business loan terms??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</si>
</sst>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3" fillId="2" borderId="0" xfId="0" applyNumberFormat="1" applyFont="1" applyFill="1" applyAlignment="1">
      <alignment horizontal="right" wrapText="1"/>
    </xf>
    <xf numFmtId="10" fontId="2" fillId="0" borderId="3" xfId="0" applyNumberFormat="1" applyFont="1" applyBorder="1" applyAlignment="1">
      <alignment horizontal="right" wrapText="1"/>
    </xf>
    <xf numFmtId="10" fontId="3" fillId="0" borderId="0" xfId="0" applyNumberFormat="1" applyFont="1" applyAlignment="1">
      <alignment horizontal="right" wrapText="1"/>
    </xf>
    <xf numFmtId="0" fontId="0" fillId="0" borderId="0" xfId="0" applyAlignment="1">
      <alignment wrapText="1"/>
    </xf>
    <xf numFmtId="164" fontId="3" fillId="2" borderId="0" xfId="0" applyNumberFormat="1" applyFont="1" applyFill="1" applyAlignment="1">
      <alignment wrapText="1"/>
    </xf>
    <xf numFmtId="0" fontId="2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5EF5-5367-4F70-B9A6-BBD283E692C5}">
  <dimension ref="A1:D74"/>
  <sheetViews>
    <sheetView workbookViewId="0">
      <selection activeCell="B65" sqref="B65"/>
    </sheetView>
  </sheetViews>
  <sheetFormatPr defaultRowHeight="14.4" x14ac:dyDescent="0.3"/>
  <cols>
    <col min="1" max="1" width="40.44140625" customWidth="1"/>
    <col min="2" max="2" width="20.6640625" customWidth="1"/>
  </cols>
  <sheetData>
    <row r="1" spans="1:4" ht="17.399999999999999" x14ac:dyDescent="0.3">
      <c r="A1" s="10" t="s">
        <v>108</v>
      </c>
      <c r="B1" s="9"/>
    </row>
    <row r="2" spans="1:4" ht="17.399999999999999" x14ac:dyDescent="0.3">
      <c r="A2" s="10" t="s">
        <v>194</v>
      </c>
      <c r="B2" s="9"/>
    </row>
    <row r="3" spans="1:4" x14ac:dyDescent="0.3">
      <c r="A3" s="11" t="s">
        <v>193</v>
      </c>
      <c r="B3" s="9"/>
    </row>
    <row r="5" spans="1:4" x14ac:dyDescent="0.3">
      <c r="A5" s="1"/>
      <c r="B5" s="2" t="s">
        <v>12</v>
      </c>
    </row>
    <row r="6" spans="1:4" x14ac:dyDescent="0.3">
      <c r="A6" s="3" t="s">
        <v>192</v>
      </c>
      <c r="B6" s="4"/>
    </row>
    <row r="7" spans="1:4" x14ac:dyDescent="0.3">
      <c r="A7" s="3" t="s">
        <v>191</v>
      </c>
      <c r="B7" s="4"/>
    </row>
    <row r="8" spans="1:4" x14ac:dyDescent="0.3">
      <c r="A8" s="3" t="s">
        <v>190</v>
      </c>
      <c r="B8" s="4"/>
    </row>
    <row r="9" spans="1:4" x14ac:dyDescent="0.3">
      <c r="A9" s="3" t="s">
        <v>189</v>
      </c>
      <c r="B9" s="5">
        <f>30539.89</f>
        <v>30539.89</v>
      </c>
    </row>
    <row r="10" spans="1:4" x14ac:dyDescent="0.3">
      <c r="A10" s="3" t="s">
        <v>188</v>
      </c>
      <c r="B10" s="12">
        <f>91897.48</f>
        <v>91897.48</v>
      </c>
      <c r="D10" t="s">
        <v>195</v>
      </c>
    </row>
    <row r="11" spans="1:4" x14ac:dyDescent="0.3">
      <c r="A11" s="3" t="s">
        <v>187</v>
      </c>
      <c r="B11" s="7">
        <f>(B9)+(B10)</f>
        <v>122437.37</v>
      </c>
    </row>
    <row r="12" spans="1:4" x14ac:dyDescent="0.3">
      <c r="A12" s="3" t="s">
        <v>186</v>
      </c>
      <c r="B12" s="4"/>
    </row>
    <row r="13" spans="1:4" x14ac:dyDescent="0.3">
      <c r="A13" s="3" t="s">
        <v>185</v>
      </c>
      <c r="B13" s="5">
        <f>0</f>
        <v>0</v>
      </c>
    </row>
    <row r="14" spans="1:4" x14ac:dyDescent="0.3">
      <c r="A14" s="3" t="s">
        <v>184</v>
      </c>
      <c r="B14" s="5">
        <f>2190.43</f>
        <v>2190.4299999999998</v>
      </c>
      <c r="D14" t="s">
        <v>197</v>
      </c>
    </row>
    <row r="15" spans="1:4" x14ac:dyDescent="0.3">
      <c r="A15" s="3" t="s">
        <v>183</v>
      </c>
      <c r="B15" s="5">
        <f>27393.64</f>
        <v>27393.64</v>
      </c>
    </row>
    <row r="16" spans="1:4" x14ac:dyDescent="0.3">
      <c r="A16" s="3" t="s">
        <v>182</v>
      </c>
      <c r="B16" s="7">
        <f>((B13)+(B14))+(B15)</f>
        <v>29584.07</v>
      </c>
    </row>
    <row r="17" spans="1:2" x14ac:dyDescent="0.3">
      <c r="A17" s="3" t="s">
        <v>181</v>
      </c>
      <c r="B17" s="7">
        <f>(B11)+(B16)</f>
        <v>152021.44</v>
      </c>
    </row>
    <row r="18" spans="1:2" x14ac:dyDescent="0.3">
      <c r="A18" s="3" t="s">
        <v>180</v>
      </c>
      <c r="B18" s="4"/>
    </row>
    <row r="19" spans="1:2" x14ac:dyDescent="0.3">
      <c r="A19" s="3" t="s">
        <v>179</v>
      </c>
      <c r="B19" s="5">
        <f>-22787</f>
        <v>-22787</v>
      </c>
    </row>
    <row r="20" spans="1:2" x14ac:dyDescent="0.3">
      <c r="A20" s="3" t="s">
        <v>178</v>
      </c>
      <c r="B20" s="5">
        <f>-32803</f>
        <v>-32803</v>
      </c>
    </row>
    <row r="21" spans="1:2" x14ac:dyDescent="0.3">
      <c r="A21" s="3" t="s">
        <v>177</v>
      </c>
      <c r="B21" s="5">
        <f>26000</f>
        <v>26000</v>
      </c>
    </row>
    <row r="22" spans="1:2" x14ac:dyDescent="0.3">
      <c r="A22" s="3" t="s">
        <v>176</v>
      </c>
      <c r="B22" s="4"/>
    </row>
    <row r="23" spans="1:2" x14ac:dyDescent="0.3">
      <c r="A23" s="3" t="s">
        <v>175</v>
      </c>
      <c r="B23" s="5">
        <f>14300</f>
        <v>14300</v>
      </c>
    </row>
    <row r="24" spans="1:2" x14ac:dyDescent="0.3">
      <c r="A24" s="3" t="s">
        <v>174</v>
      </c>
      <c r="B24" s="7">
        <f>(B22)+(B23)</f>
        <v>14300</v>
      </c>
    </row>
    <row r="25" spans="1:2" x14ac:dyDescent="0.3">
      <c r="A25" s="3" t="s">
        <v>173</v>
      </c>
      <c r="B25" s="7">
        <f>(((B19)+(B20))+(B21))+(B24)</f>
        <v>-15290</v>
      </c>
    </row>
    <row r="26" spans="1:2" x14ac:dyDescent="0.3">
      <c r="A26" s="3" t="s">
        <v>172</v>
      </c>
      <c r="B26" s="4"/>
    </row>
    <row r="27" spans="1:2" x14ac:dyDescent="0.3">
      <c r="A27" s="3" t="s">
        <v>171</v>
      </c>
      <c r="B27" s="5">
        <f>990000</f>
        <v>990000</v>
      </c>
    </row>
    <row r="28" spans="1:2" x14ac:dyDescent="0.3">
      <c r="A28" s="3" t="s">
        <v>170</v>
      </c>
      <c r="B28" s="5">
        <f>32637.31</f>
        <v>32637.31</v>
      </c>
    </row>
    <row r="29" spans="1:2" x14ac:dyDescent="0.3">
      <c r="A29" s="3" t="s">
        <v>169</v>
      </c>
      <c r="B29" s="5">
        <f>0</f>
        <v>0</v>
      </c>
    </row>
    <row r="30" spans="1:2" x14ac:dyDescent="0.3">
      <c r="A30" s="3" t="s">
        <v>168</v>
      </c>
      <c r="B30" s="7">
        <f>((B27)+(B28))+(B29)</f>
        <v>1022637.31</v>
      </c>
    </row>
    <row r="31" spans="1:2" x14ac:dyDescent="0.3">
      <c r="A31" s="3" t="s">
        <v>167</v>
      </c>
      <c r="B31" s="7">
        <f>((B17)+(B25))+(B30)</f>
        <v>1159368.75</v>
      </c>
    </row>
    <row r="32" spans="1:2" x14ac:dyDescent="0.3">
      <c r="A32" s="3" t="s">
        <v>166</v>
      </c>
      <c r="B32" s="4"/>
    </row>
    <row r="33" spans="1:2" x14ac:dyDescent="0.3">
      <c r="A33" s="3" t="s">
        <v>165</v>
      </c>
      <c r="B33" s="4"/>
    </row>
    <row r="34" spans="1:2" x14ac:dyDescent="0.3">
      <c r="A34" s="3" t="s">
        <v>164</v>
      </c>
      <c r="B34" s="4"/>
    </row>
    <row r="35" spans="1:2" x14ac:dyDescent="0.3">
      <c r="A35" s="3" t="s">
        <v>163</v>
      </c>
      <c r="B35" s="4"/>
    </row>
    <row r="36" spans="1:2" x14ac:dyDescent="0.3">
      <c r="A36" s="3" t="s">
        <v>162</v>
      </c>
      <c r="B36" s="5">
        <f>10594</f>
        <v>10594</v>
      </c>
    </row>
    <row r="37" spans="1:2" x14ac:dyDescent="0.3">
      <c r="A37" s="3" t="s">
        <v>161</v>
      </c>
      <c r="B37" s="7">
        <f>B36</f>
        <v>10594</v>
      </c>
    </row>
    <row r="38" spans="1:2" x14ac:dyDescent="0.3">
      <c r="A38" s="3" t="s">
        <v>160</v>
      </c>
      <c r="B38" s="4"/>
    </row>
    <row r="39" spans="1:2" x14ac:dyDescent="0.3">
      <c r="A39" s="3" t="s">
        <v>159</v>
      </c>
      <c r="B39" s="5">
        <f>66612.24</f>
        <v>66612.240000000005</v>
      </c>
    </row>
    <row r="40" spans="1:2" x14ac:dyDescent="0.3">
      <c r="A40" s="3" t="s">
        <v>158</v>
      </c>
      <c r="B40" s="5">
        <f>13618.96</f>
        <v>13618.96</v>
      </c>
    </row>
    <row r="41" spans="1:2" x14ac:dyDescent="0.3">
      <c r="A41" s="3" t="s">
        <v>157</v>
      </c>
      <c r="B41" s="5">
        <f>-64491.54</f>
        <v>-64491.54</v>
      </c>
    </row>
    <row r="42" spans="1:2" x14ac:dyDescent="0.3">
      <c r="A42" s="3" t="s">
        <v>156</v>
      </c>
      <c r="B42" s="5">
        <f>0</f>
        <v>0</v>
      </c>
    </row>
    <row r="43" spans="1:2" x14ac:dyDescent="0.3">
      <c r="A43" s="3" t="s">
        <v>155</v>
      </c>
      <c r="B43" s="7">
        <f>(((B39)+(B40))+(B41))+(B42)</f>
        <v>15739.660000000011</v>
      </c>
    </row>
    <row r="44" spans="1:2" x14ac:dyDescent="0.3">
      <c r="A44" s="3" t="s">
        <v>154</v>
      </c>
      <c r="B44" s="4"/>
    </row>
    <row r="45" spans="1:2" x14ac:dyDescent="0.3">
      <c r="A45" s="3" t="s">
        <v>153</v>
      </c>
      <c r="B45" s="5">
        <f>0</f>
        <v>0</v>
      </c>
    </row>
    <row r="46" spans="1:2" x14ac:dyDescent="0.3">
      <c r="A46" s="3" t="s">
        <v>152</v>
      </c>
      <c r="B46" s="4"/>
    </row>
    <row r="47" spans="1:2" x14ac:dyDescent="0.3">
      <c r="A47" s="3" t="s">
        <v>151</v>
      </c>
      <c r="B47" s="5">
        <f>0</f>
        <v>0</v>
      </c>
    </row>
    <row r="48" spans="1:2" x14ac:dyDescent="0.3">
      <c r="A48" s="3" t="s">
        <v>150</v>
      </c>
      <c r="B48" s="7">
        <f>(B46)+(B47)</f>
        <v>0</v>
      </c>
    </row>
    <row r="49" spans="1:4" x14ac:dyDescent="0.3">
      <c r="A49" s="3" t="s">
        <v>149</v>
      </c>
      <c r="B49" s="5">
        <f>135</f>
        <v>135</v>
      </c>
    </row>
    <row r="50" spans="1:4" x14ac:dyDescent="0.3">
      <c r="A50" s="3" t="s">
        <v>148</v>
      </c>
      <c r="B50" s="7">
        <f>((B45)+(B48))+(B49)</f>
        <v>135</v>
      </c>
    </row>
    <row r="51" spans="1:4" x14ac:dyDescent="0.3">
      <c r="A51" s="3" t="s">
        <v>147</v>
      </c>
      <c r="B51" s="7">
        <f>((B37)+(B43))+(B50)</f>
        <v>26468.660000000011</v>
      </c>
    </row>
    <row r="52" spans="1:4" x14ac:dyDescent="0.3">
      <c r="A52" s="3" t="s">
        <v>146</v>
      </c>
      <c r="B52" s="4"/>
    </row>
    <row r="53" spans="1:4" x14ac:dyDescent="0.3">
      <c r="A53" s="17" t="s">
        <v>145</v>
      </c>
      <c r="B53" s="12">
        <f>795482.97</f>
        <v>795482.97</v>
      </c>
      <c r="D53" t="s">
        <v>198</v>
      </c>
    </row>
    <row r="54" spans="1:4" x14ac:dyDescent="0.3">
      <c r="A54" s="3" t="s">
        <v>144</v>
      </c>
      <c r="B54" s="5">
        <f>34000</f>
        <v>34000</v>
      </c>
    </row>
    <row r="55" spans="1:4" x14ac:dyDescent="0.3">
      <c r="A55" s="3" t="s">
        <v>143</v>
      </c>
      <c r="B55" s="7">
        <f>(B53)+(B54)</f>
        <v>829482.97</v>
      </c>
    </row>
    <row r="56" spans="1:4" x14ac:dyDescent="0.3">
      <c r="A56" s="3" t="s">
        <v>142</v>
      </c>
      <c r="B56" s="7">
        <f>(B51)+(B55)</f>
        <v>855951.63</v>
      </c>
    </row>
    <row r="57" spans="1:4" x14ac:dyDescent="0.3">
      <c r="A57" s="3" t="s">
        <v>141</v>
      </c>
      <c r="B57" s="4"/>
    </row>
    <row r="58" spans="1:4" x14ac:dyDescent="0.3">
      <c r="A58" s="3" t="s">
        <v>140</v>
      </c>
      <c r="B58" s="5">
        <f>25000</f>
        <v>25000</v>
      </c>
    </row>
    <row r="59" spans="1:4" x14ac:dyDescent="0.3">
      <c r="A59" s="3" t="s">
        <v>139</v>
      </c>
      <c r="B59" s="5">
        <f>25000</f>
        <v>25000</v>
      </c>
    </row>
    <row r="60" spans="1:4" x14ac:dyDescent="0.3">
      <c r="A60" s="3" t="s">
        <v>138</v>
      </c>
      <c r="B60" s="5">
        <f>-7314</f>
        <v>-7314</v>
      </c>
    </row>
    <row r="61" spans="1:4" x14ac:dyDescent="0.3">
      <c r="A61" s="3" t="s">
        <v>137</v>
      </c>
      <c r="B61" s="5">
        <f>50000</f>
        <v>50000</v>
      </c>
    </row>
    <row r="62" spans="1:4" x14ac:dyDescent="0.3">
      <c r="A62" s="3" t="s">
        <v>136</v>
      </c>
      <c r="B62" s="5">
        <f>25000</f>
        <v>25000</v>
      </c>
    </row>
    <row r="63" spans="1:4" x14ac:dyDescent="0.3">
      <c r="A63" s="3" t="s">
        <v>135</v>
      </c>
      <c r="B63" s="5">
        <f>-7314</f>
        <v>-7314</v>
      </c>
    </row>
    <row r="64" spans="1:4" x14ac:dyDescent="0.3">
      <c r="A64" s="3" t="s">
        <v>134</v>
      </c>
      <c r="B64" s="5">
        <f>0</f>
        <v>0</v>
      </c>
    </row>
    <row r="65" spans="1:2" x14ac:dyDescent="0.3">
      <c r="A65" s="3" t="s">
        <v>133</v>
      </c>
      <c r="B65" s="5">
        <f>86973.71</f>
        <v>86973.71</v>
      </c>
    </row>
    <row r="66" spans="1:2" x14ac:dyDescent="0.3">
      <c r="A66" s="3" t="s">
        <v>132</v>
      </c>
      <c r="B66" s="5">
        <f>12500</f>
        <v>12500</v>
      </c>
    </row>
    <row r="67" spans="1:2" x14ac:dyDescent="0.3">
      <c r="A67" s="3" t="s">
        <v>131</v>
      </c>
      <c r="B67" s="5">
        <f>0</f>
        <v>0</v>
      </c>
    </row>
    <row r="68" spans="1:2" x14ac:dyDescent="0.3">
      <c r="A68" s="3" t="s">
        <v>130</v>
      </c>
      <c r="B68" s="5">
        <f>93571.41</f>
        <v>93571.41</v>
      </c>
    </row>
    <row r="69" spans="1:2" x14ac:dyDescent="0.3">
      <c r="A69" s="3" t="s">
        <v>129</v>
      </c>
      <c r="B69" s="7">
        <f>((((((((((B58)+(B59))+(B60))+(B61))+(B62))+(B63))+(B64))+(B65))+(B66))+(B67))+(B68)</f>
        <v>303417.12</v>
      </c>
    </row>
    <row r="70" spans="1:2" x14ac:dyDescent="0.3">
      <c r="A70" s="3" t="s">
        <v>128</v>
      </c>
      <c r="B70" s="7">
        <f>(B56)+(B69)</f>
        <v>1159368.75</v>
      </c>
    </row>
    <row r="71" spans="1:2" x14ac:dyDescent="0.3">
      <c r="A71" s="3"/>
      <c r="B71" s="4"/>
    </row>
    <row r="74" spans="1:2" x14ac:dyDescent="0.3">
      <c r="A74" s="8" t="s">
        <v>127</v>
      </c>
      <c r="B74" s="9"/>
    </row>
  </sheetData>
  <mergeCells count="4">
    <mergeCell ref="A74:B74"/>
    <mergeCell ref="A1:B1"/>
    <mergeCell ref="A2:B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workbookViewId="0">
      <selection activeCell="P92" sqref="P92"/>
    </sheetView>
  </sheetViews>
  <sheetFormatPr defaultRowHeight="14.4" x14ac:dyDescent="0.3"/>
  <cols>
    <col min="1" max="1" width="34.33203125" customWidth="1"/>
    <col min="2" max="13" width="9.44140625" customWidth="1"/>
    <col min="14" max="14" width="11.21875" customWidth="1"/>
    <col min="16" max="16" width="44.21875" customWidth="1"/>
  </cols>
  <sheetData>
    <row r="1" spans="1:14" ht="17.399999999999999" x14ac:dyDescent="0.3">
      <c r="A1" s="10" t="s">
        <v>108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7.399999999999999" x14ac:dyDescent="0.3">
      <c r="A2" s="10" t="s">
        <v>109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3">
      <c r="A3" s="11" t="s">
        <v>110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 x14ac:dyDescent="0.3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</row>
    <row r="6" spans="1:14" x14ac:dyDescent="0.3">
      <c r="A6" s="3" t="s">
        <v>13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">
      <c r="A7" s="3" t="s">
        <v>14</v>
      </c>
      <c r="B7" s="5">
        <f>3182.75</f>
        <v>3182.75</v>
      </c>
      <c r="C7" s="5">
        <f>1468.69</f>
        <v>1468.69</v>
      </c>
      <c r="D7" s="5">
        <f>1920.89</f>
        <v>1920.89</v>
      </c>
      <c r="E7" s="5">
        <f>1153.92</f>
        <v>1153.92</v>
      </c>
      <c r="F7" s="5">
        <f>1897.97</f>
        <v>1897.97</v>
      </c>
      <c r="G7" s="5">
        <f>1019.75</f>
        <v>1019.75</v>
      </c>
      <c r="H7" s="5">
        <f>1081.1</f>
        <v>1081.0999999999999</v>
      </c>
      <c r="I7" s="5">
        <f>863.13</f>
        <v>863.13</v>
      </c>
      <c r="J7" s="5">
        <f>744.59</f>
        <v>744.59</v>
      </c>
      <c r="K7" s="5">
        <f>1240.82</f>
        <v>1240.82</v>
      </c>
      <c r="L7" s="5">
        <f>1520.41</f>
        <v>1520.41</v>
      </c>
      <c r="M7" s="5">
        <f>529.04</f>
        <v>529.04</v>
      </c>
      <c r="N7" s="5">
        <f t="shared" ref="N7:N17" si="0">(((((((((((B7)+(C7))+(D7))+(E7))+(F7))+(G7))+(H7))+(I7))+(J7))+(K7))+(L7))+(M7)</f>
        <v>16623.060000000001</v>
      </c>
    </row>
    <row r="8" spans="1:14" x14ac:dyDescent="0.3">
      <c r="A8" s="3" t="s">
        <v>15</v>
      </c>
      <c r="B8" s="4"/>
      <c r="C8" s="4"/>
      <c r="D8" s="4"/>
      <c r="E8" s="4"/>
      <c r="F8" s="4"/>
      <c r="G8" s="4"/>
      <c r="H8" s="5">
        <f>1</f>
        <v>1</v>
      </c>
      <c r="I8" s="5">
        <f>32</f>
        <v>32</v>
      </c>
      <c r="J8" s="4"/>
      <c r="K8" s="4"/>
      <c r="L8" s="4"/>
      <c r="M8" s="4"/>
      <c r="N8" s="5">
        <f t="shared" si="0"/>
        <v>33</v>
      </c>
    </row>
    <row r="9" spans="1:14" x14ac:dyDescent="0.3">
      <c r="A9" s="3" t="s">
        <v>16</v>
      </c>
      <c r="B9" s="5">
        <f>2053.84</f>
        <v>2053.84</v>
      </c>
      <c r="C9" s="5">
        <f>1954.12</f>
        <v>1954.12</v>
      </c>
      <c r="D9" s="5">
        <f>2527.62</f>
        <v>2527.62</v>
      </c>
      <c r="E9" s="5">
        <f>2575</f>
        <v>2575</v>
      </c>
      <c r="F9" s="5">
        <f>2665.2</f>
        <v>2665.2</v>
      </c>
      <c r="G9" s="5">
        <f>2255</f>
        <v>2255</v>
      </c>
      <c r="H9" s="5">
        <f>2418.74</f>
        <v>2418.7399999999998</v>
      </c>
      <c r="I9" s="5">
        <f>2179.42</f>
        <v>2179.42</v>
      </c>
      <c r="J9" s="5">
        <f>1759.62</f>
        <v>1759.62</v>
      </c>
      <c r="K9" s="5">
        <f>1890.92</f>
        <v>1890.92</v>
      </c>
      <c r="L9" s="5">
        <f>1913.42</f>
        <v>1913.42</v>
      </c>
      <c r="M9" s="5">
        <f>1312.5</f>
        <v>1312.5</v>
      </c>
      <c r="N9" s="5">
        <f t="shared" si="0"/>
        <v>25505.399999999994</v>
      </c>
    </row>
    <row r="10" spans="1:14" x14ac:dyDescent="0.3">
      <c r="A10" s="3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>
        <f>1217.15</f>
        <v>1217.1500000000001</v>
      </c>
      <c r="M10" s="4"/>
      <c r="N10" s="5">
        <f t="shared" si="0"/>
        <v>1217.1500000000001</v>
      </c>
    </row>
    <row r="11" spans="1:14" x14ac:dyDescent="0.3">
      <c r="A11" s="3" t="s">
        <v>18</v>
      </c>
      <c r="B11" s="5">
        <f>45905.23</f>
        <v>45905.23</v>
      </c>
      <c r="C11" s="5">
        <f>44732.14</f>
        <v>44732.14</v>
      </c>
      <c r="D11" s="5">
        <f>44942.79</f>
        <v>44942.79</v>
      </c>
      <c r="E11" s="5">
        <f>45596.29</f>
        <v>45596.29</v>
      </c>
      <c r="F11" s="5">
        <f>45195.16</f>
        <v>45195.16</v>
      </c>
      <c r="G11" s="5">
        <f>40928.5</f>
        <v>40928.5</v>
      </c>
      <c r="H11" s="5">
        <f>40742.06</f>
        <v>40742.06</v>
      </c>
      <c r="I11" s="5">
        <f>38387.44</f>
        <v>38387.440000000002</v>
      </c>
      <c r="J11" s="5">
        <f>40158.14</f>
        <v>40158.14</v>
      </c>
      <c r="K11" s="5">
        <f>39154.13</f>
        <v>39154.129999999997</v>
      </c>
      <c r="L11" s="5">
        <f>37588.61</f>
        <v>37588.61</v>
      </c>
      <c r="M11" s="5">
        <f>43504.91</f>
        <v>43504.91</v>
      </c>
      <c r="N11" s="5">
        <f t="shared" si="0"/>
        <v>506835.4</v>
      </c>
    </row>
    <row r="12" spans="1:14" x14ac:dyDescent="0.3">
      <c r="A12" s="3" t="s">
        <v>19</v>
      </c>
      <c r="B12" s="4"/>
      <c r="C12" s="4"/>
      <c r="D12" s="5">
        <f>12504</f>
        <v>12504</v>
      </c>
      <c r="E12" s="4"/>
      <c r="F12" s="5">
        <f>1308</f>
        <v>1308</v>
      </c>
      <c r="G12" s="5">
        <f>9684</f>
        <v>9684</v>
      </c>
      <c r="H12" s="5">
        <f>8436</f>
        <v>8436</v>
      </c>
      <c r="I12" s="5">
        <f>2376</f>
        <v>2376</v>
      </c>
      <c r="J12" s="5">
        <f>4308</f>
        <v>4308</v>
      </c>
      <c r="K12" s="5">
        <f>5376</f>
        <v>5376</v>
      </c>
      <c r="L12" s="5">
        <f>2376</f>
        <v>2376</v>
      </c>
      <c r="M12" s="5">
        <f>6684</f>
        <v>6684</v>
      </c>
      <c r="N12" s="5">
        <f t="shared" si="0"/>
        <v>53052</v>
      </c>
    </row>
    <row r="13" spans="1:14" x14ac:dyDescent="0.3">
      <c r="A13" s="3" t="s">
        <v>20</v>
      </c>
      <c r="B13" s="5">
        <f>-1140</f>
        <v>-1140</v>
      </c>
      <c r="C13" s="5">
        <f>-657.49</f>
        <v>-657.49</v>
      </c>
      <c r="D13" s="5">
        <f>-775.13</f>
        <v>-775.13</v>
      </c>
      <c r="E13" s="5">
        <f>-522.6</f>
        <v>-522.6</v>
      </c>
      <c r="F13" s="5">
        <f>-2076.08</f>
        <v>-2076.08</v>
      </c>
      <c r="G13" s="5">
        <f>-827.6</f>
        <v>-827.6</v>
      </c>
      <c r="H13" s="5">
        <f>-1025.98</f>
        <v>-1025.98</v>
      </c>
      <c r="I13" s="5">
        <f>-1071.12</f>
        <v>-1071.1199999999999</v>
      </c>
      <c r="J13" s="5">
        <f>-429.96</f>
        <v>-429.96</v>
      </c>
      <c r="K13" s="5">
        <f>-211.31</f>
        <v>-211.31</v>
      </c>
      <c r="L13" s="5">
        <f>-869.58</f>
        <v>-869.58</v>
      </c>
      <c r="M13" s="5">
        <f>-942.63</f>
        <v>-942.63</v>
      </c>
      <c r="N13" s="5">
        <f t="shared" si="0"/>
        <v>-10549.479999999998</v>
      </c>
    </row>
    <row r="14" spans="1:14" x14ac:dyDescent="0.3">
      <c r="A14" s="3" t="s">
        <v>21</v>
      </c>
      <c r="B14" s="5">
        <f>1500</f>
        <v>1500</v>
      </c>
      <c r="C14" s="5">
        <f>500</f>
        <v>500</v>
      </c>
      <c r="D14" s="5">
        <f>1000</f>
        <v>1000</v>
      </c>
      <c r="E14" s="5">
        <f>500</f>
        <v>500</v>
      </c>
      <c r="F14" s="5">
        <f>500</f>
        <v>500</v>
      </c>
      <c r="G14" s="5">
        <f>750</f>
        <v>750</v>
      </c>
      <c r="H14" s="5">
        <f>1000</f>
        <v>1000</v>
      </c>
      <c r="I14" s="5">
        <f>749.59</f>
        <v>749.59</v>
      </c>
      <c r="J14" s="5">
        <f>735.65</f>
        <v>735.65</v>
      </c>
      <c r="K14" s="5">
        <f>750</f>
        <v>750</v>
      </c>
      <c r="L14" s="5">
        <f>750</f>
        <v>750</v>
      </c>
      <c r="M14" s="5">
        <f>750</f>
        <v>750</v>
      </c>
      <c r="N14" s="5">
        <f t="shared" si="0"/>
        <v>9485.24</v>
      </c>
    </row>
    <row r="15" spans="1:14" x14ac:dyDescent="0.3">
      <c r="A15" s="3" t="s">
        <v>22</v>
      </c>
      <c r="B15" s="4"/>
      <c r="C15" s="4"/>
      <c r="D15" s="5">
        <f>1147.25</f>
        <v>1147.25</v>
      </c>
      <c r="E15" s="5">
        <f>1561.25</f>
        <v>1561.25</v>
      </c>
      <c r="F15" s="5">
        <f>1546</f>
        <v>1546</v>
      </c>
      <c r="G15" s="5">
        <f>1247</f>
        <v>1247</v>
      </c>
      <c r="H15" s="5">
        <f>1472</f>
        <v>1472</v>
      </c>
      <c r="I15" s="5">
        <f>1472</f>
        <v>1472</v>
      </c>
      <c r="J15" s="5">
        <f>1123</f>
        <v>1123</v>
      </c>
      <c r="K15" s="5">
        <f>1123</f>
        <v>1123</v>
      </c>
      <c r="L15" s="5">
        <f>1123</f>
        <v>1123</v>
      </c>
      <c r="M15" s="5">
        <f>1360.5</f>
        <v>1360.5</v>
      </c>
      <c r="N15" s="5">
        <f t="shared" si="0"/>
        <v>13175</v>
      </c>
    </row>
    <row r="16" spans="1:14" x14ac:dyDescent="0.3">
      <c r="A16" s="3" t="s">
        <v>23</v>
      </c>
      <c r="B16" s="5">
        <f>2069.26</f>
        <v>2069.2600000000002</v>
      </c>
      <c r="C16" s="5">
        <f>2167.15</f>
        <v>2167.15</v>
      </c>
      <c r="D16" s="5">
        <f>1633.31</f>
        <v>1633.31</v>
      </c>
      <c r="E16" s="5">
        <f>1972.47</f>
        <v>1972.47</v>
      </c>
      <c r="F16" s="5">
        <f>1615.71</f>
        <v>1615.71</v>
      </c>
      <c r="G16" s="5">
        <f>1745.54</f>
        <v>1745.54</v>
      </c>
      <c r="H16" s="5">
        <f>1855.78</f>
        <v>1855.78</v>
      </c>
      <c r="I16" s="5">
        <f>1948.5</f>
        <v>1948.5</v>
      </c>
      <c r="J16" s="5">
        <f>2033.92</f>
        <v>2033.92</v>
      </c>
      <c r="K16" s="5">
        <f>1426.11</f>
        <v>1426.11</v>
      </c>
      <c r="L16" s="5">
        <f>1032.7</f>
        <v>1032.7</v>
      </c>
      <c r="M16" s="5">
        <f>1075.01</f>
        <v>1075.01</v>
      </c>
      <c r="N16" s="5">
        <f t="shared" si="0"/>
        <v>20575.46</v>
      </c>
    </row>
    <row r="17" spans="1:16" x14ac:dyDescent="0.3">
      <c r="A17" s="3" t="s">
        <v>24</v>
      </c>
      <c r="B17" s="6">
        <f t="shared" ref="B17:M17" si="1">(((((((((B7)+(B8))+(B9))+(B10))+(B11))+(B12))+(B13))+(B14))+(B15))+(B16)</f>
        <v>53571.080000000009</v>
      </c>
      <c r="C17" s="6">
        <f t="shared" si="1"/>
        <v>50164.61</v>
      </c>
      <c r="D17" s="6">
        <f t="shared" si="1"/>
        <v>64900.73</v>
      </c>
      <c r="E17" s="6">
        <f t="shared" si="1"/>
        <v>52836.33</v>
      </c>
      <c r="F17" s="6">
        <f t="shared" si="1"/>
        <v>52651.96</v>
      </c>
      <c r="G17" s="6">
        <f t="shared" si="1"/>
        <v>56802.19</v>
      </c>
      <c r="H17" s="6">
        <f t="shared" si="1"/>
        <v>55980.69999999999</v>
      </c>
      <c r="I17" s="6">
        <f t="shared" si="1"/>
        <v>46936.959999999999</v>
      </c>
      <c r="J17" s="6">
        <f t="shared" si="1"/>
        <v>50432.959999999999</v>
      </c>
      <c r="K17" s="6">
        <f t="shared" si="1"/>
        <v>50749.67</v>
      </c>
      <c r="L17" s="6">
        <f t="shared" si="1"/>
        <v>46651.709999999992</v>
      </c>
      <c r="M17" s="6">
        <f t="shared" si="1"/>
        <v>54273.330000000009</v>
      </c>
      <c r="N17" s="6">
        <f t="shared" si="0"/>
        <v>635952.23</v>
      </c>
    </row>
    <row r="18" spans="1:16" x14ac:dyDescent="0.3">
      <c r="A18" s="3" t="s">
        <v>25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6" x14ac:dyDescent="0.3">
      <c r="A19" s="3" t="s">
        <v>26</v>
      </c>
      <c r="B19" s="5">
        <f>354.19</f>
        <v>354.19</v>
      </c>
      <c r="C19" s="5">
        <f>430.94</f>
        <v>430.94</v>
      </c>
      <c r="D19" s="5">
        <f>976.71</f>
        <v>976.71</v>
      </c>
      <c r="E19" s="5">
        <f>430.94</f>
        <v>430.94</v>
      </c>
      <c r="F19" s="5">
        <f>646.05</f>
        <v>646.04999999999995</v>
      </c>
      <c r="G19" s="5">
        <f>341.86</f>
        <v>341.86</v>
      </c>
      <c r="H19" s="5">
        <f>367.56</f>
        <v>367.56</v>
      </c>
      <c r="I19" s="5">
        <f>316.87</f>
        <v>316.87</v>
      </c>
      <c r="J19" s="5">
        <f>227.44</f>
        <v>227.44</v>
      </c>
      <c r="K19" s="5">
        <f>252.79</f>
        <v>252.79</v>
      </c>
      <c r="L19" s="5">
        <f>189.42</f>
        <v>189.42</v>
      </c>
      <c r="M19" s="12">
        <f>9548</f>
        <v>9548</v>
      </c>
      <c r="N19" s="5">
        <f>(((((((((((B19)+(C19))+(D19))+(E19))+(F19))+(G19))+(H19))+(I19))+(J19))+(K19))+(L19))+(M19)</f>
        <v>14082.77</v>
      </c>
      <c r="P19" t="s">
        <v>111</v>
      </c>
    </row>
    <row r="20" spans="1:16" x14ac:dyDescent="0.3">
      <c r="A20" s="3" t="s">
        <v>27</v>
      </c>
      <c r="B20" s="6">
        <f t="shared" ref="B20:M20" si="2">B19</f>
        <v>354.19</v>
      </c>
      <c r="C20" s="6">
        <f t="shared" si="2"/>
        <v>430.94</v>
      </c>
      <c r="D20" s="6">
        <f t="shared" si="2"/>
        <v>976.71</v>
      </c>
      <c r="E20" s="6">
        <f t="shared" si="2"/>
        <v>430.94</v>
      </c>
      <c r="F20" s="6">
        <f t="shared" si="2"/>
        <v>646.04999999999995</v>
      </c>
      <c r="G20" s="6">
        <f t="shared" si="2"/>
        <v>341.86</v>
      </c>
      <c r="H20" s="6">
        <f t="shared" si="2"/>
        <v>367.56</v>
      </c>
      <c r="I20" s="6">
        <f t="shared" si="2"/>
        <v>316.87</v>
      </c>
      <c r="J20" s="6">
        <f t="shared" si="2"/>
        <v>227.44</v>
      </c>
      <c r="K20" s="6">
        <f t="shared" si="2"/>
        <v>252.79</v>
      </c>
      <c r="L20" s="6">
        <f t="shared" si="2"/>
        <v>189.42</v>
      </c>
      <c r="M20" s="6">
        <f t="shared" si="2"/>
        <v>9548</v>
      </c>
      <c r="N20" s="6">
        <f>(((((((((((B20)+(C20))+(D20))+(E20))+(F20))+(G20))+(H20))+(I20))+(J20))+(K20))+(L20))+(M20)</f>
        <v>14082.77</v>
      </c>
    </row>
    <row r="21" spans="1:16" x14ac:dyDescent="0.3">
      <c r="A21" s="3" t="s">
        <v>28</v>
      </c>
      <c r="B21" s="6">
        <f t="shared" ref="B21:M21" si="3">(B17)-(B20)</f>
        <v>53216.890000000007</v>
      </c>
      <c r="C21" s="6">
        <f t="shared" si="3"/>
        <v>49733.67</v>
      </c>
      <c r="D21" s="6">
        <f t="shared" si="3"/>
        <v>63924.020000000004</v>
      </c>
      <c r="E21" s="6">
        <f t="shared" si="3"/>
        <v>52405.39</v>
      </c>
      <c r="F21" s="6">
        <f t="shared" si="3"/>
        <v>52005.909999999996</v>
      </c>
      <c r="G21" s="6">
        <f t="shared" si="3"/>
        <v>56460.33</v>
      </c>
      <c r="H21" s="6">
        <f t="shared" si="3"/>
        <v>55613.139999999992</v>
      </c>
      <c r="I21" s="6">
        <f t="shared" si="3"/>
        <v>46620.09</v>
      </c>
      <c r="J21" s="6">
        <f t="shared" si="3"/>
        <v>50205.52</v>
      </c>
      <c r="K21" s="6">
        <f t="shared" si="3"/>
        <v>50496.88</v>
      </c>
      <c r="L21" s="6">
        <f t="shared" si="3"/>
        <v>46462.289999999994</v>
      </c>
      <c r="M21" s="6">
        <f t="shared" si="3"/>
        <v>44725.330000000009</v>
      </c>
      <c r="N21" s="6">
        <f>(((((((((((B21)+(C21))+(D21))+(E21))+(F21))+(G21))+(H21))+(I21))+(J21))+(K21))+(L21))+(M21)</f>
        <v>621869.46000000008</v>
      </c>
    </row>
    <row r="22" spans="1:16" x14ac:dyDescent="0.3">
      <c r="A22" s="3" t="s">
        <v>29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6" x14ac:dyDescent="0.3">
      <c r="A23" s="3" t="s">
        <v>30</v>
      </c>
      <c r="B23" s="5">
        <f>2014.97</f>
        <v>2014.97</v>
      </c>
      <c r="C23" s="5">
        <f>1810.03</f>
        <v>1810.03</v>
      </c>
      <c r="D23" s="5">
        <f>1968.48</f>
        <v>1968.48</v>
      </c>
      <c r="E23" s="5">
        <f>1820.08</f>
        <v>1820.08</v>
      </c>
      <c r="F23" s="5">
        <f>1810.09</f>
        <v>1810.09</v>
      </c>
      <c r="G23" s="5">
        <f>1810.02</f>
        <v>1810.02</v>
      </c>
      <c r="H23" s="5">
        <f>1820.69</f>
        <v>1820.69</v>
      </c>
      <c r="I23" s="5">
        <f>1810.01</f>
        <v>1810.01</v>
      </c>
      <c r="J23" s="5">
        <f>1810.01</f>
        <v>1810.01</v>
      </c>
      <c r="K23" s="5">
        <f>169.66</f>
        <v>169.66</v>
      </c>
      <c r="L23" s="5">
        <f>170.25</f>
        <v>170.25</v>
      </c>
      <c r="M23" s="12">
        <f>1630.34</f>
        <v>1630.34</v>
      </c>
      <c r="N23" s="5">
        <f t="shared" ref="N23:N54" si="4">(((((((((((B23)+(C23))+(D23))+(E23))+(F23))+(G23))+(H23))+(I23))+(J23))+(K23))+(L23))+(M23)</f>
        <v>18644.63</v>
      </c>
      <c r="P23" t="s">
        <v>112</v>
      </c>
    </row>
    <row r="24" spans="1:16" x14ac:dyDescent="0.3">
      <c r="A24" s="3" t="s">
        <v>31</v>
      </c>
      <c r="B24" s="4"/>
      <c r="C24" s="4"/>
      <c r="D24" s="4"/>
      <c r="E24" s="4"/>
      <c r="F24" s="4"/>
      <c r="G24" s="4"/>
      <c r="H24" s="4"/>
      <c r="I24" s="5">
        <f>180</f>
        <v>180</v>
      </c>
      <c r="J24" s="5">
        <f>120</f>
        <v>120</v>
      </c>
      <c r="K24" s="4"/>
      <c r="L24" s="4"/>
      <c r="M24" s="5">
        <f>920</f>
        <v>920</v>
      </c>
      <c r="N24" s="5">
        <f t="shared" si="4"/>
        <v>1220</v>
      </c>
    </row>
    <row r="25" spans="1:16" x14ac:dyDescent="0.3">
      <c r="A25" s="3" t="s">
        <v>32</v>
      </c>
      <c r="B25" s="5">
        <f>1250</f>
        <v>1250</v>
      </c>
      <c r="C25" s="4"/>
      <c r="D25" s="5">
        <f>2980</f>
        <v>2980</v>
      </c>
      <c r="E25" s="4"/>
      <c r="F25" s="5">
        <f>250</f>
        <v>250</v>
      </c>
      <c r="G25" s="5">
        <f>600</f>
        <v>600</v>
      </c>
      <c r="H25" s="5">
        <f>450</f>
        <v>450</v>
      </c>
      <c r="I25" s="5">
        <f>500</f>
        <v>500</v>
      </c>
      <c r="J25" s="5">
        <f>250</f>
        <v>250</v>
      </c>
      <c r="K25" s="5">
        <f>650</f>
        <v>650</v>
      </c>
      <c r="L25" s="5">
        <f>250</f>
        <v>250</v>
      </c>
      <c r="M25" s="4"/>
      <c r="N25" s="5">
        <f t="shared" si="4"/>
        <v>7180</v>
      </c>
    </row>
    <row r="26" spans="1:16" x14ac:dyDescent="0.3">
      <c r="A26" s="3" t="s">
        <v>33</v>
      </c>
      <c r="B26" s="5">
        <f>320</f>
        <v>320</v>
      </c>
      <c r="C26" s="5">
        <f>573.28</f>
        <v>573.28</v>
      </c>
      <c r="D26" s="5">
        <f>589.63</f>
        <v>589.63</v>
      </c>
      <c r="E26" s="5">
        <f>519.64</f>
        <v>519.64</v>
      </c>
      <c r="F26" s="5">
        <f>655.19</f>
        <v>655.19000000000005</v>
      </c>
      <c r="G26" s="5">
        <f>669.39</f>
        <v>669.39</v>
      </c>
      <c r="H26" s="5">
        <f>652.8</f>
        <v>652.79999999999995</v>
      </c>
      <c r="I26" s="5">
        <f>655.16</f>
        <v>655.16</v>
      </c>
      <c r="J26" s="5">
        <f>255.85</f>
        <v>255.85</v>
      </c>
      <c r="K26" s="5">
        <f>545.68</f>
        <v>545.67999999999995</v>
      </c>
      <c r="L26" s="4"/>
      <c r="M26" s="4"/>
      <c r="N26" s="5">
        <f t="shared" si="4"/>
        <v>5436.62</v>
      </c>
    </row>
    <row r="27" spans="1:16" x14ac:dyDescent="0.3">
      <c r="A27" s="3" t="s">
        <v>34</v>
      </c>
      <c r="B27" s="6">
        <f t="shared" ref="B27:M27" si="5">(((B23)+(B24))+(B25))+(B26)</f>
        <v>3584.9700000000003</v>
      </c>
      <c r="C27" s="6">
        <f t="shared" si="5"/>
        <v>2383.31</v>
      </c>
      <c r="D27" s="6">
        <f t="shared" si="5"/>
        <v>5538.11</v>
      </c>
      <c r="E27" s="6">
        <f t="shared" si="5"/>
        <v>2339.7199999999998</v>
      </c>
      <c r="F27" s="6">
        <f t="shared" si="5"/>
        <v>2715.28</v>
      </c>
      <c r="G27" s="6">
        <f t="shared" si="5"/>
        <v>3079.41</v>
      </c>
      <c r="H27" s="6">
        <f t="shared" si="5"/>
        <v>2923.49</v>
      </c>
      <c r="I27" s="6">
        <f t="shared" si="5"/>
        <v>3145.17</v>
      </c>
      <c r="J27" s="6">
        <f t="shared" si="5"/>
        <v>2435.86</v>
      </c>
      <c r="K27" s="6">
        <f t="shared" si="5"/>
        <v>1365.34</v>
      </c>
      <c r="L27" s="6">
        <f t="shared" si="5"/>
        <v>420.25</v>
      </c>
      <c r="M27" s="6">
        <f t="shared" si="5"/>
        <v>2550.34</v>
      </c>
      <c r="N27" s="6">
        <f t="shared" si="4"/>
        <v>32481.25</v>
      </c>
    </row>
    <row r="28" spans="1:16" x14ac:dyDescent="0.3">
      <c r="A28" s="3" t="s">
        <v>35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>
        <f t="shared" si="4"/>
        <v>0</v>
      </c>
    </row>
    <row r="29" spans="1:16" x14ac:dyDescent="0.3">
      <c r="A29" s="3" t="s">
        <v>36</v>
      </c>
      <c r="B29" s="4"/>
      <c r="C29" s="4"/>
      <c r="D29" s="4"/>
      <c r="E29" s="5">
        <f>54.88</f>
        <v>54.88</v>
      </c>
      <c r="F29" s="5">
        <f>462.22</f>
        <v>462.22</v>
      </c>
      <c r="G29" s="5">
        <f>526.8</f>
        <v>526.79999999999995</v>
      </c>
      <c r="H29" s="5">
        <f>260.82</f>
        <v>260.82</v>
      </c>
      <c r="I29" s="4"/>
      <c r="J29" s="5">
        <f>65.78</f>
        <v>65.78</v>
      </c>
      <c r="K29" s="4"/>
      <c r="L29" s="4"/>
      <c r="M29" s="5">
        <f>368.76</f>
        <v>368.76</v>
      </c>
      <c r="N29" s="5">
        <f t="shared" si="4"/>
        <v>1739.26</v>
      </c>
      <c r="P29" t="s">
        <v>113</v>
      </c>
    </row>
    <row r="30" spans="1:16" x14ac:dyDescent="0.3">
      <c r="A30" s="3" t="s">
        <v>37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5">
        <f>150</f>
        <v>150</v>
      </c>
      <c r="M30" s="4"/>
      <c r="N30" s="5">
        <f t="shared" si="4"/>
        <v>150</v>
      </c>
    </row>
    <row r="31" spans="1:16" x14ac:dyDescent="0.3">
      <c r="A31" s="3" t="s">
        <v>38</v>
      </c>
      <c r="B31" s="5">
        <f>131.11</f>
        <v>131.11000000000001</v>
      </c>
      <c r="C31" s="4"/>
      <c r="D31" s="5">
        <f>300</f>
        <v>300</v>
      </c>
      <c r="E31" s="5">
        <f>748.13</f>
        <v>748.13</v>
      </c>
      <c r="F31" s="5">
        <f>273.41</f>
        <v>273.41000000000003</v>
      </c>
      <c r="G31" s="5">
        <f>329.19</f>
        <v>329.19</v>
      </c>
      <c r="H31" s="5">
        <f>1942.6</f>
        <v>1942.6</v>
      </c>
      <c r="I31" s="4"/>
      <c r="J31" s="4"/>
      <c r="K31" s="5">
        <f>150</f>
        <v>150</v>
      </c>
      <c r="L31" s="5">
        <f>1600</f>
        <v>1600</v>
      </c>
      <c r="M31" s="4"/>
      <c r="N31" s="5">
        <f t="shared" si="4"/>
        <v>5474.4400000000005</v>
      </c>
    </row>
    <row r="32" spans="1:16" x14ac:dyDescent="0.3">
      <c r="A32" s="3" t="s">
        <v>39</v>
      </c>
      <c r="B32" s="5">
        <f>408.3</f>
        <v>408.3</v>
      </c>
      <c r="C32" s="5">
        <f>586.76</f>
        <v>586.76</v>
      </c>
      <c r="D32" s="5">
        <f>954.14</f>
        <v>954.14</v>
      </c>
      <c r="E32" s="4"/>
      <c r="F32" s="4"/>
      <c r="G32" s="4"/>
      <c r="H32" s="4"/>
      <c r="I32" s="4"/>
      <c r="J32" s="4"/>
      <c r="K32" s="4"/>
      <c r="L32" s="5">
        <f>1623.32</f>
        <v>1623.32</v>
      </c>
      <c r="M32" s="5">
        <f>-169.92</f>
        <v>-169.92</v>
      </c>
      <c r="N32" s="5">
        <f t="shared" si="4"/>
        <v>3402.5999999999995</v>
      </c>
      <c r="P32" t="s">
        <v>114</v>
      </c>
    </row>
    <row r="33" spans="1:14" x14ac:dyDescent="0.3">
      <c r="A33" s="3" t="s">
        <v>40</v>
      </c>
      <c r="B33" s="4"/>
      <c r="C33" s="4"/>
      <c r="D33" s="4"/>
      <c r="E33" s="5">
        <f>40</f>
        <v>40</v>
      </c>
      <c r="F33" s="5">
        <f>153.3</f>
        <v>153.30000000000001</v>
      </c>
      <c r="G33" s="4"/>
      <c r="H33" s="5">
        <f>647</f>
        <v>647</v>
      </c>
      <c r="I33" s="4"/>
      <c r="J33" s="4"/>
      <c r="K33" s="5">
        <f>24</f>
        <v>24</v>
      </c>
      <c r="L33" s="4"/>
      <c r="M33" s="4"/>
      <c r="N33" s="5">
        <f t="shared" si="4"/>
        <v>864.3</v>
      </c>
    </row>
    <row r="34" spans="1:14" x14ac:dyDescent="0.3">
      <c r="A34" s="3" t="s">
        <v>41</v>
      </c>
      <c r="B34" s="6">
        <f t="shared" ref="B34:M34" si="6">(((((B28)+(B29))+(B30))+(B31))+(B32))+(B33)</f>
        <v>539.41000000000008</v>
      </c>
      <c r="C34" s="6">
        <f t="shared" si="6"/>
        <v>586.76</v>
      </c>
      <c r="D34" s="6">
        <f t="shared" si="6"/>
        <v>1254.1399999999999</v>
      </c>
      <c r="E34" s="6">
        <f t="shared" si="6"/>
        <v>843.01</v>
      </c>
      <c r="F34" s="6">
        <f t="shared" si="6"/>
        <v>888.93000000000006</v>
      </c>
      <c r="G34" s="6">
        <f t="shared" si="6"/>
        <v>855.99</v>
      </c>
      <c r="H34" s="6">
        <f t="shared" si="6"/>
        <v>2850.42</v>
      </c>
      <c r="I34" s="6">
        <f t="shared" si="6"/>
        <v>0</v>
      </c>
      <c r="J34" s="6">
        <f t="shared" si="6"/>
        <v>65.78</v>
      </c>
      <c r="K34" s="6">
        <f t="shared" si="6"/>
        <v>174</v>
      </c>
      <c r="L34" s="6">
        <f t="shared" si="6"/>
        <v>3373.3199999999997</v>
      </c>
      <c r="M34" s="6">
        <f t="shared" si="6"/>
        <v>198.84</v>
      </c>
      <c r="N34" s="6">
        <f t="shared" si="4"/>
        <v>11630.599999999999</v>
      </c>
    </row>
    <row r="35" spans="1:14" x14ac:dyDescent="0.3">
      <c r="A35" s="3" t="s">
        <v>42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>
        <f t="shared" si="4"/>
        <v>0</v>
      </c>
    </row>
    <row r="36" spans="1:14" x14ac:dyDescent="0.3">
      <c r="A36" s="3" t="s">
        <v>43</v>
      </c>
      <c r="B36" s="5">
        <f>825</f>
        <v>825</v>
      </c>
      <c r="C36" s="5">
        <f>1620</f>
        <v>1620</v>
      </c>
      <c r="D36" s="5">
        <f>825</f>
        <v>825</v>
      </c>
      <c r="E36" s="5">
        <f>1120</f>
        <v>1120</v>
      </c>
      <c r="F36" s="5">
        <f>825</f>
        <v>825</v>
      </c>
      <c r="G36" s="5">
        <f>825</f>
        <v>825</v>
      </c>
      <c r="H36" s="5">
        <f>825</f>
        <v>825</v>
      </c>
      <c r="I36" s="5">
        <f>825</f>
        <v>825</v>
      </c>
      <c r="J36" s="5">
        <f>825</f>
        <v>825</v>
      </c>
      <c r="K36" s="5">
        <f>825</f>
        <v>825</v>
      </c>
      <c r="L36" s="5">
        <f>825</f>
        <v>825</v>
      </c>
      <c r="M36" s="5">
        <f>825</f>
        <v>825</v>
      </c>
      <c r="N36" s="5">
        <f t="shared" si="4"/>
        <v>10990</v>
      </c>
    </row>
    <row r="37" spans="1:14" x14ac:dyDescent="0.3">
      <c r="A37" s="3" t="s">
        <v>44</v>
      </c>
      <c r="B37" s="4"/>
      <c r="C37" s="5">
        <f>14.61</f>
        <v>14.61</v>
      </c>
      <c r="D37" s="4"/>
      <c r="E37" s="4"/>
      <c r="F37" s="4"/>
      <c r="G37" s="4"/>
      <c r="H37" s="4"/>
      <c r="I37" s="4"/>
      <c r="J37" s="4"/>
      <c r="K37" s="5">
        <f>2</f>
        <v>2</v>
      </c>
      <c r="L37" s="4"/>
      <c r="M37" s="4"/>
      <c r="N37" s="5">
        <f t="shared" si="4"/>
        <v>16.61</v>
      </c>
    </row>
    <row r="38" spans="1:14" x14ac:dyDescent="0.3">
      <c r="A38" s="3" t="s">
        <v>45</v>
      </c>
      <c r="B38" s="5">
        <f>175.13</f>
        <v>175.13</v>
      </c>
      <c r="C38" s="5">
        <f>164.96</f>
        <v>164.96</v>
      </c>
      <c r="D38" s="5">
        <f>159.8</f>
        <v>159.80000000000001</v>
      </c>
      <c r="E38" s="5">
        <f>169.04</f>
        <v>169.04</v>
      </c>
      <c r="F38" s="5">
        <f>179.97</f>
        <v>179.97</v>
      </c>
      <c r="G38" s="5">
        <f>156.07</f>
        <v>156.07</v>
      </c>
      <c r="H38" s="5">
        <f>148.94</f>
        <v>148.94</v>
      </c>
      <c r="I38" s="5">
        <f>136.06</f>
        <v>136.06</v>
      </c>
      <c r="J38" s="5">
        <f>131.34</f>
        <v>131.34</v>
      </c>
      <c r="K38" s="5">
        <f>147.27</f>
        <v>147.27000000000001</v>
      </c>
      <c r="L38" s="5">
        <f>133.83</f>
        <v>133.83000000000001</v>
      </c>
      <c r="M38" s="5">
        <f>89.75</f>
        <v>89.75</v>
      </c>
      <c r="N38" s="5">
        <f t="shared" si="4"/>
        <v>1792.1599999999999</v>
      </c>
    </row>
    <row r="39" spans="1:14" x14ac:dyDescent="0.3">
      <c r="A39" s="3" t="s">
        <v>46</v>
      </c>
      <c r="B39" s="5">
        <f>8.23</f>
        <v>8.23</v>
      </c>
      <c r="C39" s="5">
        <f>5.28</f>
        <v>5.28</v>
      </c>
      <c r="D39" s="5">
        <f>51.64</f>
        <v>51.64</v>
      </c>
      <c r="E39" s="5">
        <f>15.76</f>
        <v>15.76</v>
      </c>
      <c r="F39" s="5">
        <f>13.75</f>
        <v>13.75</v>
      </c>
      <c r="G39" s="5">
        <f>14.55</f>
        <v>14.55</v>
      </c>
      <c r="H39" s="5">
        <f>4.75</f>
        <v>4.75</v>
      </c>
      <c r="I39" s="5">
        <f>11.3</f>
        <v>11.3</v>
      </c>
      <c r="J39" s="5">
        <f>17.85</f>
        <v>17.850000000000001</v>
      </c>
      <c r="K39" s="5">
        <f>16.75</f>
        <v>16.75</v>
      </c>
      <c r="L39" s="5">
        <f>8</f>
        <v>8</v>
      </c>
      <c r="M39" s="5">
        <f>5.5</f>
        <v>5.5</v>
      </c>
      <c r="N39" s="5">
        <f t="shared" si="4"/>
        <v>173.36</v>
      </c>
    </row>
    <row r="40" spans="1:14" x14ac:dyDescent="0.3">
      <c r="A40" s="3" t="s">
        <v>47</v>
      </c>
      <c r="B40" s="6">
        <f t="shared" ref="B40:M40" si="7">((B37)+(B38))+(B39)</f>
        <v>183.35999999999999</v>
      </c>
      <c r="C40" s="6">
        <f t="shared" si="7"/>
        <v>184.85</v>
      </c>
      <c r="D40" s="6">
        <f t="shared" si="7"/>
        <v>211.44</v>
      </c>
      <c r="E40" s="6">
        <f t="shared" si="7"/>
        <v>184.79999999999998</v>
      </c>
      <c r="F40" s="6">
        <f t="shared" si="7"/>
        <v>193.72</v>
      </c>
      <c r="G40" s="6">
        <f t="shared" si="7"/>
        <v>170.62</v>
      </c>
      <c r="H40" s="6">
        <f t="shared" si="7"/>
        <v>153.69</v>
      </c>
      <c r="I40" s="6">
        <f t="shared" si="7"/>
        <v>147.36000000000001</v>
      </c>
      <c r="J40" s="6">
        <f t="shared" si="7"/>
        <v>149.19</v>
      </c>
      <c r="K40" s="6">
        <f t="shared" si="7"/>
        <v>166.02</v>
      </c>
      <c r="L40" s="6">
        <f t="shared" si="7"/>
        <v>141.83000000000001</v>
      </c>
      <c r="M40" s="6">
        <f t="shared" si="7"/>
        <v>95.25</v>
      </c>
      <c r="N40" s="6">
        <f t="shared" si="4"/>
        <v>1982.13</v>
      </c>
    </row>
    <row r="41" spans="1:14" x14ac:dyDescent="0.3">
      <c r="A41" s="3" t="s">
        <v>48</v>
      </c>
      <c r="B41" s="4"/>
      <c r="C41" s="5">
        <f>300</f>
        <v>300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5">
        <f t="shared" si="4"/>
        <v>300</v>
      </c>
    </row>
    <row r="42" spans="1:14" x14ac:dyDescent="0.3">
      <c r="A42" s="3" t="s">
        <v>49</v>
      </c>
      <c r="B42" s="5">
        <f t="shared" ref="B42:M42" si="8">966.41</f>
        <v>966.41</v>
      </c>
      <c r="C42" s="5">
        <f t="shared" si="8"/>
        <v>966.41</v>
      </c>
      <c r="D42" s="5">
        <f t="shared" si="8"/>
        <v>966.41</v>
      </c>
      <c r="E42" s="5">
        <f t="shared" si="8"/>
        <v>966.41</v>
      </c>
      <c r="F42" s="5">
        <f t="shared" si="8"/>
        <v>966.41</v>
      </c>
      <c r="G42" s="5">
        <f t="shared" si="8"/>
        <v>966.41</v>
      </c>
      <c r="H42" s="5">
        <f t="shared" si="8"/>
        <v>966.41</v>
      </c>
      <c r="I42" s="5">
        <f t="shared" si="8"/>
        <v>966.41</v>
      </c>
      <c r="J42" s="5">
        <f t="shared" si="8"/>
        <v>966.41</v>
      </c>
      <c r="K42" s="5">
        <f t="shared" si="8"/>
        <v>966.41</v>
      </c>
      <c r="L42" s="5">
        <f t="shared" si="8"/>
        <v>966.41</v>
      </c>
      <c r="M42" s="5">
        <f t="shared" si="8"/>
        <v>966.41</v>
      </c>
      <c r="N42" s="5">
        <f t="shared" si="4"/>
        <v>11596.92</v>
      </c>
    </row>
    <row r="43" spans="1:14" x14ac:dyDescent="0.3">
      <c r="A43" s="3" t="s">
        <v>50</v>
      </c>
      <c r="B43" s="4"/>
      <c r="C43" s="4"/>
      <c r="D43" s="4"/>
      <c r="E43" s="4"/>
      <c r="F43" s="4"/>
      <c r="G43" s="4"/>
      <c r="H43" s="4"/>
      <c r="I43" s="4"/>
      <c r="J43" s="5">
        <f>99.75</f>
        <v>99.75</v>
      </c>
      <c r="K43" s="4"/>
      <c r="L43" s="4"/>
      <c r="M43" s="4"/>
      <c r="N43" s="5">
        <f t="shared" si="4"/>
        <v>99.75</v>
      </c>
    </row>
    <row r="44" spans="1:14" x14ac:dyDescent="0.3">
      <c r="A44" s="3" t="s">
        <v>51</v>
      </c>
      <c r="B44" s="4"/>
      <c r="C44" s="4"/>
      <c r="D44" s="4"/>
      <c r="E44" s="4"/>
      <c r="F44" s="4"/>
      <c r="G44" s="5">
        <f>0</f>
        <v>0</v>
      </c>
      <c r="H44" s="4"/>
      <c r="I44" s="4"/>
      <c r="J44" s="4"/>
      <c r="K44" s="4"/>
      <c r="L44" s="4"/>
      <c r="M44" s="4"/>
      <c r="N44" s="5">
        <f t="shared" si="4"/>
        <v>0</v>
      </c>
    </row>
    <row r="45" spans="1:14" x14ac:dyDescent="0.3">
      <c r="A45" s="3" t="s">
        <v>52</v>
      </c>
      <c r="B45" s="4"/>
      <c r="C45" s="5">
        <f>20</f>
        <v>20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5">
        <f t="shared" si="4"/>
        <v>20</v>
      </c>
    </row>
    <row r="46" spans="1:14" x14ac:dyDescent="0.3">
      <c r="A46" s="3" t="s">
        <v>53</v>
      </c>
      <c r="B46" s="5">
        <f t="shared" ref="B46:G46" si="9">580.11</f>
        <v>580.11</v>
      </c>
      <c r="C46" s="5">
        <f t="shared" si="9"/>
        <v>580.11</v>
      </c>
      <c r="D46" s="5">
        <f t="shared" si="9"/>
        <v>580.11</v>
      </c>
      <c r="E46" s="5">
        <f t="shared" si="9"/>
        <v>580.11</v>
      </c>
      <c r="F46" s="5">
        <f t="shared" si="9"/>
        <v>580.11</v>
      </c>
      <c r="G46" s="5">
        <f t="shared" si="9"/>
        <v>580.11</v>
      </c>
      <c r="H46" s="5">
        <f>33.4</f>
        <v>33.4</v>
      </c>
      <c r="I46" s="5">
        <f>33.4</f>
        <v>33.4</v>
      </c>
      <c r="J46" s="5">
        <f>1482.34</f>
        <v>1482.34</v>
      </c>
      <c r="K46" s="5">
        <f>863.14</f>
        <v>863.14</v>
      </c>
      <c r="L46" s="5">
        <f>863.14</f>
        <v>863.14</v>
      </c>
      <c r="M46" s="5">
        <f>863.14</f>
        <v>863.14</v>
      </c>
      <c r="N46" s="5">
        <f t="shared" si="4"/>
        <v>7619.2200000000012</v>
      </c>
    </row>
    <row r="47" spans="1:14" x14ac:dyDescent="0.3">
      <c r="A47" s="3" t="s">
        <v>54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>
        <f t="shared" si="4"/>
        <v>0</v>
      </c>
    </row>
    <row r="48" spans="1:14" x14ac:dyDescent="0.3">
      <c r="A48" s="3" t="s">
        <v>55</v>
      </c>
      <c r="B48" s="4"/>
      <c r="C48" s="5">
        <f>55.15</f>
        <v>55.15</v>
      </c>
      <c r="D48" s="5">
        <f>182.08</f>
        <v>182.08</v>
      </c>
      <c r="E48" s="5">
        <f>102.66</f>
        <v>102.66</v>
      </c>
      <c r="F48" s="5">
        <f>168.8</f>
        <v>168.8</v>
      </c>
      <c r="G48" s="4"/>
      <c r="H48" s="5">
        <f>270</f>
        <v>270</v>
      </c>
      <c r="I48" s="4"/>
      <c r="J48" s="5">
        <f>-52.85</f>
        <v>-52.85</v>
      </c>
      <c r="K48" s="5">
        <f>379.55</f>
        <v>379.55</v>
      </c>
      <c r="L48" s="4"/>
      <c r="M48" s="4"/>
      <c r="N48" s="5">
        <f t="shared" si="4"/>
        <v>1105.3900000000001</v>
      </c>
    </row>
    <row r="49" spans="1:14" x14ac:dyDescent="0.3">
      <c r="A49" s="3" t="s">
        <v>56</v>
      </c>
      <c r="B49" s="6">
        <f t="shared" ref="B49:M49" si="10">(B47)+(B48)</f>
        <v>0</v>
      </c>
      <c r="C49" s="6">
        <f t="shared" si="10"/>
        <v>55.15</v>
      </c>
      <c r="D49" s="6">
        <f t="shared" si="10"/>
        <v>182.08</v>
      </c>
      <c r="E49" s="6">
        <f t="shared" si="10"/>
        <v>102.66</v>
      </c>
      <c r="F49" s="6">
        <f t="shared" si="10"/>
        <v>168.8</v>
      </c>
      <c r="G49" s="6">
        <f t="shared" si="10"/>
        <v>0</v>
      </c>
      <c r="H49" s="6">
        <f t="shared" si="10"/>
        <v>270</v>
      </c>
      <c r="I49" s="6">
        <f t="shared" si="10"/>
        <v>0</v>
      </c>
      <c r="J49" s="6">
        <f t="shared" si="10"/>
        <v>-52.85</v>
      </c>
      <c r="K49" s="6">
        <f t="shared" si="10"/>
        <v>379.55</v>
      </c>
      <c r="L49" s="6">
        <f t="shared" si="10"/>
        <v>0</v>
      </c>
      <c r="M49" s="6">
        <f t="shared" si="10"/>
        <v>0</v>
      </c>
      <c r="N49" s="6">
        <f t="shared" si="4"/>
        <v>1105.3900000000001</v>
      </c>
    </row>
    <row r="50" spans="1:14" x14ac:dyDescent="0.3">
      <c r="A50" s="3" t="s">
        <v>57</v>
      </c>
      <c r="B50" s="5">
        <f>1125.5</f>
        <v>1125.5</v>
      </c>
      <c r="C50" s="5">
        <f>1081.41</f>
        <v>1081.4100000000001</v>
      </c>
      <c r="D50" s="5">
        <f>1259.6</f>
        <v>1259.5999999999999</v>
      </c>
      <c r="E50" s="5">
        <f>1165.18</f>
        <v>1165.18</v>
      </c>
      <c r="F50" s="5">
        <f>1121.42</f>
        <v>1121.42</v>
      </c>
      <c r="G50" s="5">
        <f>1123.08</f>
        <v>1123.08</v>
      </c>
      <c r="H50" s="5">
        <f>1123.34</f>
        <v>1123.3399999999999</v>
      </c>
      <c r="I50" s="5">
        <f>1121.48</f>
        <v>1121.48</v>
      </c>
      <c r="J50" s="5">
        <f>1397.65</f>
        <v>1397.65</v>
      </c>
      <c r="K50" s="5">
        <f>1122.84</f>
        <v>1122.8399999999999</v>
      </c>
      <c r="L50" s="5">
        <f>1126.37</f>
        <v>1126.3699999999999</v>
      </c>
      <c r="M50" s="5">
        <f>1110.23</f>
        <v>1110.23</v>
      </c>
      <c r="N50" s="5">
        <f t="shared" si="4"/>
        <v>13878.099999999999</v>
      </c>
    </row>
    <row r="51" spans="1:14" x14ac:dyDescent="0.3">
      <c r="A51" s="3" t="s">
        <v>58</v>
      </c>
      <c r="B51" s="5">
        <f>202.68</f>
        <v>202.68</v>
      </c>
      <c r="C51" s="5">
        <f>426.7</f>
        <v>426.7</v>
      </c>
      <c r="D51" s="5">
        <f>150</f>
        <v>150</v>
      </c>
      <c r="E51" s="5">
        <f>150</f>
        <v>150</v>
      </c>
      <c r="F51" s="5">
        <f>150</f>
        <v>150</v>
      </c>
      <c r="G51" s="5">
        <f>150</f>
        <v>150</v>
      </c>
      <c r="H51" s="5">
        <f>150</f>
        <v>150</v>
      </c>
      <c r="I51" s="5">
        <f>150</f>
        <v>150</v>
      </c>
      <c r="J51" s="5">
        <f>150</f>
        <v>150</v>
      </c>
      <c r="K51" s="5">
        <f>193.7</f>
        <v>193.7</v>
      </c>
      <c r="L51" s="5">
        <f>150</f>
        <v>150</v>
      </c>
      <c r="M51" s="5">
        <f>150</f>
        <v>150</v>
      </c>
      <c r="N51" s="5">
        <f t="shared" si="4"/>
        <v>2173.08</v>
      </c>
    </row>
    <row r="52" spans="1:14" x14ac:dyDescent="0.3">
      <c r="A52" s="3" t="s">
        <v>59</v>
      </c>
      <c r="B52" s="4"/>
      <c r="C52" s="4"/>
      <c r="D52" s="5">
        <f>75.55</f>
        <v>75.55</v>
      </c>
      <c r="E52" s="4"/>
      <c r="F52" s="4"/>
      <c r="G52" s="4"/>
      <c r="H52" s="4"/>
      <c r="I52" s="4"/>
      <c r="J52" s="4"/>
      <c r="K52" s="4"/>
      <c r="L52" s="5">
        <f>27.5</f>
        <v>27.5</v>
      </c>
      <c r="M52" s="5">
        <f>20.07</f>
        <v>20.07</v>
      </c>
      <c r="N52" s="5">
        <f t="shared" si="4"/>
        <v>123.12</v>
      </c>
    </row>
    <row r="53" spans="1:14" x14ac:dyDescent="0.3">
      <c r="A53" s="3" t="s">
        <v>60</v>
      </c>
      <c r="B53" s="5">
        <f>283.89</f>
        <v>283.89</v>
      </c>
      <c r="C53" s="5">
        <f>51.54</f>
        <v>51.54</v>
      </c>
      <c r="D53" s="5">
        <f>51.54</f>
        <v>51.54</v>
      </c>
      <c r="E53" s="5">
        <f>51.54</f>
        <v>51.54</v>
      </c>
      <c r="F53" s="5">
        <f>51.54</f>
        <v>51.54</v>
      </c>
      <c r="G53" s="5">
        <f>51.54</f>
        <v>51.54</v>
      </c>
      <c r="H53" s="5">
        <f>54.84</f>
        <v>54.84</v>
      </c>
      <c r="I53" s="5">
        <f>54.84</f>
        <v>54.84</v>
      </c>
      <c r="J53" s="5">
        <f>54.84</f>
        <v>54.84</v>
      </c>
      <c r="K53" s="5">
        <f>54.84</f>
        <v>54.84</v>
      </c>
      <c r="L53" s="5">
        <f>54.84</f>
        <v>54.84</v>
      </c>
      <c r="M53" s="5">
        <f>84.84</f>
        <v>84.84</v>
      </c>
      <c r="N53" s="5">
        <f t="shared" si="4"/>
        <v>900.63000000000022</v>
      </c>
    </row>
    <row r="54" spans="1:14" x14ac:dyDescent="0.3">
      <c r="A54" s="3" t="s">
        <v>61</v>
      </c>
      <c r="B54" s="6">
        <f t="shared" ref="B54:M54" si="11">((B51)+(B52))+(B53)</f>
        <v>486.57</v>
      </c>
      <c r="C54" s="6">
        <f t="shared" si="11"/>
        <v>478.24</v>
      </c>
      <c r="D54" s="6">
        <f t="shared" si="11"/>
        <v>277.09000000000003</v>
      </c>
      <c r="E54" s="6">
        <f t="shared" si="11"/>
        <v>201.54</v>
      </c>
      <c r="F54" s="6">
        <f t="shared" si="11"/>
        <v>201.54</v>
      </c>
      <c r="G54" s="6">
        <f t="shared" si="11"/>
        <v>201.54</v>
      </c>
      <c r="H54" s="6">
        <f t="shared" si="11"/>
        <v>204.84</v>
      </c>
      <c r="I54" s="6">
        <f t="shared" si="11"/>
        <v>204.84</v>
      </c>
      <c r="J54" s="6">
        <f t="shared" si="11"/>
        <v>204.84</v>
      </c>
      <c r="K54" s="6">
        <f t="shared" si="11"/>
        <v>248.54</v>
      </c>
      <c r="L54" s="6">
        <f t="shared" si="11"/>
        <v>232.34</v>
      </c>
      <c r="M54" s="6">
        <f t="shared" si="11"/>
        <v>254.91</v>
      </c>
      <c r="N54" s="6">
        <f t="shared" si="4"/>
        <v>3196.8300000000004</v>
      </c>
    </row>
    <row r="55" spans="1:14" x14ac:dyDescent="0.3">
      <c r="A55" s="3" t="s">
        <v>62</v>
      </c>
      <c r="B55" s="5">
        <f t="shared" ref="B55:K55" si="12">12463.95</f>
        <v>12463.95</v>
      </c>
      <c r="C55" s="5">
        <f t="shared" si="12"/>
        <v>12463.95</v>
      </c>
      <c r="D55" s="5">
        <f t="shared" si="12"/>
        <v>12463.95</v>
      </c>
      <c r="E55" s="5">
        <f t="shared" si="12"/>
        <v>12463.95</v>
      </c>
      <c r="F55" s="5">
        <f t="shared" si="12"/>
        <v>12463.95</v>
      </c>
      <c r="G55" s="5">
        <f t="shared" si="12"/>
        <v>12463.95</v>
      </c>
      <c r="H55" s="5">
        <f t="shared" si="12"/>
        <v>12463.95</v>
      </c>
      <c r="I55" s="5">
        <f t="shared" si="12"/>
        <v>12463.95</v>
      </c>
      <c r="J55" s="5">
        <f t="shared" si="12"/>
        <v>12463.95</v>
      </c>
      <c r="K55" s="5">
        <f t="shared" si="12"/>
        <v>12463.95</v>
      </c>
      <c r="L55" s="5">
        <f>13333</f>
        <v>13333</v>
      </c>
      <c r="M55" s="5">
        <f>13333</f>
        <v>13333</v>
      </c>
      <c r="N55" s="5">
        <f t="shared" ref="N55:N86" si="13">(((((((((((B55)+(C55))+(D55))+(E55))+(F55))+(G55))+(H55))+(I55))+(J55))+(K55))+(L55))+(M55)</f>
        <v>151305.5</v>
      </c>
    </row>
    <row r="56" spans="1:14" x14ac:dyDescent="0.3">
      <c r="A56" s="3" t="s">
        <v>63</v>
      </c>
      <c r="B56" s="4"/>
      <c r="C56" s="5">
        <f>221.32</f>
        <v>221.32</v>
      </c>
      <c r="D56" s="5">
        <f t="shared" ref="D56:M56" si="14">155.79</f>
        <v>155.79</v>
      </c>
      <c r="E56" s="5">
        <f t="shared" si="14"/>
        <v>155.79</v>
      </c>
      <c r="F56" s="5">
        <f t="shared" si="14"/>
        <v>155.79</v>
      </c>
      <c r="G56" s="5">
        <f t="shared" si="14"/>
        <v>155.79</v>
      </c>
      <c r="H56" s="5">
        <f t="shared" si="14"/>
        <v>155.79</v>
      </c>
      <c r="I56" s="5">
        <f t="shared" si="14"/>
        <v>155.79</v>
      </c>
      <c r="J56" s="5">
        <f t="shared" si="14"/>
        <v>155.79</v>
      </c>
      <c r="K56" s="5">
        <f t="shared" si="14"/>
        <v>155.79</v>
      </c>
      <c r="L56" s="5">
        <f t="shared" si="14"/>
        <v>155.79</v>
      </c>
      <c r="M56" s="5">
        <f t="shared" si="14"/>
        <v>155.79</v>
      </c>
      <c r="N56" s="5">
        <f t="shared" si="13"/>
        <v>1779.2199999999998</v>
      </c>
    </row>
    <row r="57" spans="1:14" x14ac:dyDescent="0.3">
      <c r="A57" s="3" t="s">
        <v>64</v>
      </c>
      <c r="B57" s="6">
        <f t="shared" ref="B57:M57" si="15">(B55)+(B56)</f>
        <v>12463.95</v>
      </c>
      <c r="C57" s="6">
        <f t="shared" si="15"/>
        <v>12685.27</v>
      </c>
      <c r="D57" s="6">
        <f t="shared" si="15"/>
        <v>12619.740000000002</v>
      </c>
      <c r="E57" s="6">
        <f t="shared" si="15"/>
        <v>12619.740000000002</v>
      </c>
      <c r="F57" s="6">
        <f t="shared" si="15"/>
        <v>12619.740000000002</v>
      </c>
      <c r="G57" s="6">
        <f t="shared" si="15"/>
        <v>12619.740000000002</v>
      </c>
      <c r="H57" s="6">
        <f t="shared" si="15"/>
        <v>12619.740000000002</v>
      </c>
      <c r="I57" s="6">
        <f t="shared" si="15"/>
        <v>12619.740000000002</v>
      </c>
      <c r="J57" s="6">
        <f t="shared" si="15"/>
        <v>12619.740000000002</v>
      </c>
      <c r="K57" s="6">
        <f t="shared" si="15"/>
        <v>12619.740000000002</v>
      </c>
      <c r="L57" s="6">
        <f t="shared" si="15"/>
        <v>13488.79</v>
      </c>
      <c r="M57" s="6">
        <f t="shared" si="15"/>
        <v>13488.79</v>
      </c>
      <c r="N57" s="6">
        <f t="shared" si="13"/>
        <v>153084.72000000006</v>
      </c>
    </row>
    <row r="58" spans="1:14" x14ac:dyDescent="0.3">
      <c r="A58" s="3" t="s">
        <v>65</v>
      </c>
      <c r="B58" s="4"/>
      <c r="C58" s="5">
        <f>1183</f>
        <v>1183</v>
      </c>
      <c r="D58" s="5">
        <f>327.75</f>
        <v>327.75</v>
      </c>
      <c r="E58" s="4"/>
      <c r="F58" s="4"/>
      <c r="G58" s="4"/>
      <c r="H58" s="4"/>
      <c r="I58" s="4"/>
      <c r="J58" s="5">
        <f>675</f>
        <v>675</v>
      </c>
      <c r="K58" s="4"/>
      <c r="L58" s="4"/>
      <c r="M58" s="5">
        <f>72</f>
        <v>72</v>
      </c>
      <c r="N58" s="5">
        <f t="shared" si="13"/>
        <v>2257.75</v>
      </c>
    </row>
    <row r="59" spans="1:14" x14ac:dyDescent="0.3">
      <c r="A59" s="3" t="s">
        <v>66</v>
      </c>
      <c r="B59" s="4"/>
      <c r="C59" s="4"/>
      <c r="D59" s="4"/>
      <c r="E59" s="5">
        <f>376</f>
        <v>376</v>
      </c>
      <c r="F59" s="4"/>
      <c r="G59" s="4"/>
      <c r="H59" s="4"/>
      <c r="I59" s="4"/>
      <c r="J59" s="4"/>
      <c r="K59" s="5">
        <f>43.27</f>
        <v>43.27</v>
      </c>
      <c r="L59" s="4"/>
      <c r="M59" s="4"/>
      <c r="N59" s="5">
        <f t="shared" si="13"/>
        <v>419.27</v>
      </c>
    </row>
    <row r="60" spans="1:14" x14ac:dyDescent="0.3">
      <c r="A60" s="3" t="s">
        <v>67</v>
      </c>
      <c r="B60" s="4"/>
      <c r="C60" s="4"/>
      <c r="D60" s="5">
        <f>21.95</f>
        <v>21.95</v>
      </c>
      <c r="E60" s="4"/>
      <c r="F60" s="4"/>
      <c r="G60" s="4"/>
      <c r="H60" s="4"/>
      <c r="I60" s="4"/>
      <c r="J60" s="4"/>
      <c r="K60" s="4"/>
      <c r="L60" s="4"/>
      <c r="M60" s="4"/>
      <c r="N60" s="5">
        <f t="shared" si="13"/>
        <v>21.95</v>
      </c>
    </row>
    <row r="61" spans="1:14" x14ac:dyDescent="0.3">
      <c r="A61" s="3" t="s">
        <v>68</v>
      </c>
      <c r="B61" s="5">
        <f>216.73</f>
        <v>216.73</v>
      </c>
      <c r="C61" s="5">
        <f>223.52</f>
        <v>223.52</v>
      </c>
      <c r="D61" s="5">
        <f>223.65</f>
        <v>223.65</v>
      </c>
      <c r="E61" s="5">
        <f>223.65</f>
        <v>223.65</v>
      </c>
      <c r="F61" s="5">
        <f>223.58</f>
        <v>223.58</v>
      </c>
      <c r="G61" s="5">
        <f>223.54</f>
        <v>223.54</v>
      </c>
      <c r="H61" s="5">
        <f>223.53</f>
        <v>223.53</v>
      </c>
      <c r="I61" s="5">
        <f>223.55</f>
        <v>223.55</v>
      </c>
      <c r="J61" s="5">
        <f>223.61</f>
        <v>223.61</v>
      </c>
      <c r="K61" s="5">
        <f>223.76</f>
        <v>223.76</v>
      </c>
      <c r="L61" s="5">
        <f>223.86</f>
        <v>223.86</v>
      </c>
      <c r="M61" s="5">
        <f>387.84</f>
        <v>387.84</v>
      </c>
      <c r="N61" s="5">
        <f t="shared" si="13"/>
        <v>2840.82</v>
      </c>
    </row>
    <row r="62" spans="1:14" x14ac:dyDescent="0.3">
      <c r="A62" s="3" t="s">
        <v>69</v>
      </c>
      <c r="B62" s="6">
        <f t="shared" ref="B62:M62" si="16">(B60)+(B61)</f>
        <v>216.73</v>
      </c>
      <c r="C62" s="6">
        <f t="shared" si="16"/>
        <v>223.52</v>
      </c>
      <c r="D62" s="6">
        <f t="shared" si="16"/>
        <v>245.6</v>
      </c>
      <c r="E62" s="6">
        <f t="shared" si="16"/>
        <v>223.65</v>
      </c>
      <c r="F62" s="6">
        <f t="shared" si="16"/>
        <v>223.58</v>
      </c>
      <c r="G62" s="6">
        <f t="shared" si="16"/>
        <v>223.54</v>
      </c>
      <c r="H62" s="6">
        <f t="shared" si="16"/>
        <v>223.53</v>
      </c>
      <c r="I62" s="6">
        <f t="shared" si="16"/>
        <v>223.55</v>
      </c>
      <c r="J62" s="6">
        <f t="shared" si="16"/>
        <v>223.61</v>
      </c>
      <c r="K62" s="6">
        <f t="shared" si="16"/>
        <v>223.76</v>
      </c>
      <c r="L62" s="6">
        <f t="shared" si="16"/>
        <v>223.86</v>
      </c>
      <c r="M62" s="6">
        <f t="shared" si="16"/>
        <v>387.84</v>
      </c>
      <c r="N62" s="6">
        <f t="shared" si="13"/>
        <v>2862.77</v>
      </c>
    </row>
    <row r="63" spans="1:14" x14ac:dyDescent="0.3">
      <c r="A63" s="3" t="s">
        <v>70</v>
      </c>
      <c r="B63" s="6">
        <f t="shared" ref="B63:M63" si="17">(((((((((((((((B35)+(B36))+(B40))+(B41))+(B42))+(B43))+(B44))+(B45))+(B46))+(B49))+(B50))+(B54))+(B57))+(B58))+(B59))+(B62)</f>
        <v>16847.63</v>
      </c>
      <c r="C63" s="6">
        <f t="shared" si="17"/>
        <v>19377.960000000003</v>
      </c>
      <c r="D63" s="6">
        <f t="shared" si="17"/>
        <v>17494.82</v>
      </c>
      <c r="E63" s="6">
        <f t="shared" si="17"/>
        <v>17540.090000000004</v>
      </c>
      <c r="F63" s="6">
        <f t="shared" si="17"/>
        <v>16900.320000000003</v>
      </c>
      <c r="G63" s="6">
        <f t="shared" si="17"/>
        <v>16710.04</v>
      </c>
      <c r="H63" s="6">
        <f t="shared" si="17"/>
        <v>16419.95</v>
      </c>
      <c r="I63" s="6">
        <f t="shared" si="17"/>
        <v>16141.78</v>
      </c>
      <c r="J63" s="6">
        <f t="shared" si="17"/>
        <v>18590.68</v>
      </c>
      <c r="K63" s="6">
        <f t="shared" si="17"/>
        <v>17458.27</v>
      </c>
      <c r="L63" s="6">
        <f t="shared" si="17"/>
        <v>17867.740000000002</v>
      </c>
      <c r="M63" s="6">
        <f t="shared" si="17"/>
        <v>18063.57</v>
      </c>
      <c r="N63" s="6">
        <f t="shared" si="13"/>
        <v>209412.85</v>
      </c>
    </row>
    <row r="64" spans="1:14" x14ac:dyDescent="0.3">
      <c r="A64" s="3" t="s">
        <v>71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>
        <f t="shared" si="13"/>
        <v>0</v>
      </c>
    </row>
    <row r="65" spans="1:14" x14ac:dyDescent="0.3">
      <c r="A65" s="3" t="s">
        <v>72</v>
      </c>
      <c r="B65" s="5">
        <f>7160.96</f>
        <v>7160.96</v>
      </c>
      <c r="C65" s="5">
        <f>6969.44</f>
        <v>6969.44</v>
      </c>
      <c r="D65" s="5">
        <f>6318.6</f>
        <v>6318.6</v>
      </c>
      <c r="E65" s="5">
        <f>6947.43</f>
        <v>6947.43</v>
      </c>
      <c r="F65" s="5">
        <f>6681.74</f>
        <v>6681.74</v>
      </c>
      <c r="G65" s="5">
        <f>6859.32</f>
        <v>6859.32</v>
      </c>
      <c r="H65" s="5">
        <f>6595.76</f>
        <v>6595.76</v>
      </c>
      <c r="I65" s="5">
        <f>6769.76</f>
        <v>6769.76</v>
      </c>
      <c r="J65" s="5">
        <f>6725.33</f>
        <v>6725.33</v>
      </c>
      <c r="K65" s="5">
        <f>6332.42</f>
        <v>6332.42</v>
      </c>
      <c r="L65" s="5">
        <f>6463.27</f>
        <v>6463.27</v>
      </c>
      <c r="M65" s="4"/>
      <c r="N65" s="5">
        <f t="shared" si="13"/>
        <v>73824.030000000013</v>
      </c>
    </row>
    <row r="66" spans="1:14" x14ac:dyDescent="0.3">
      <c r="A66" s="3" t="s">
        <v>73</v>
      </c>
      <c r="B66" s="4"/>
      <c r="C66" s="4"/>
      <c r="D66" s="4"/>
      <c r="E66" s="4"/>
      <c r="F66" s="5">
        <f>3937.5</f>
        <v>3937.5</v>
      </c>
      <c r="G66" s="5">
        <f>875</f>
        <v>875</v>
      </c>
      <c r="H66" s="4"/>
      <c r="I66" s="4"/>
      <c r="J66" s="4"/>
      <c r="K66" s="4"/>
      <c r="L66" s="4"/>
      <c r="M66" s="4"/>
      <c r="N66" s="5">
        <f t="shared" si="13"/>
        <v>4812.5</v>
      </c>
    </row>
    <row r="67" spans="1:14" x14ac:dyDescent="0.3">
      <c r="A67" s="3" t="s">
        <v>74</v>
      </c>
      <c r="B67" s="6">
        <f t="shared" ref="B67:M67" si="18">((B64)+(B65))+(B66)</f>
        <v>7160.96</v>
      </c>
      <c r="C67" s="6">
        <f t="shared" si="18"/>
        <v>6969.44</v>
      </c>
      <c r="D67" s="6">
        <f t="shared" si="18"/>
        <v>6318.6</v>
      </c>
      <c r="E67" s="6">
        <f t="shared" si="18"/>
        <v>6947.43</v>
      </c>
      <c r="F67" s="6">
        <f t="shared" si="18"/>
        <v>10619.24</v>
      </c>
      <c r="G67" s="6">
        <f t="shared" si="18"/>
        <v>7734.32</v>
      </c>
      <c r="H67" s="6">
        <f t="shared" si="18"/>
        <v>6595.76</v>
      </c>
      <c r="I67" s="6">
        <f t="shared" si="18"/>
        <v>6769.76</v>
      </c>
      <c r="J67" s="6">
        <f t="shared" si="18"/>
        <v>6725.33</v>
      </c>
      <c r="K67" s="6">
        <f t="shared" si="18"/>
        <v>6332.42</v>
      </c>
      <c r="L67" s="6">
        <f t="shared" si="18"/>
        <v>6463.27</v>
      </c>
      <c r="M67" s="6">
        <f t="shared" si="18"/>
        <v>0</v>
      </c>
      <c r="N67" s="6">
        <f t="shared" si="13"/>
        <v>78636.53</v>
      </c>
    </row>
    <row r="68" spans="1:14" x14ac:dyDescent="0.3">
      <c r="A68" s="3" t="s">
        <v>75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>
        <f t="shared" si="13"/>
        <v>0</v>
      </c>
    </row>
    <row r="69" spans="1:14" x14ac:dyDescent="0.3">
      <c r="A69" s="3" t="s">
        <v>76</v>
      </c>
      <c r="B69" s="5">
        <f>3541.5</f>
        <v>3541.5</v>
      </c>
      <c r="C69" s="5">
        <f>4363</f>
        <v>4363</v>
      </c>
      <c r="D69" s="5">
        <f>5192.5</f>
        <v>5192.5</v>
      </c>
      <c r="E69" s="5">
        <f>4508</f>
        <v>4508</v>
      </c>
      <c r="F69" s="5">
        <f>4645</f>
        <v>4645</v>
      </c>
      <c r="G69" s="5">
        <f>4439</f>
        <v>4439</v>
      </c>
      <c r="H69" s="5">
        <f>5018</f>
        <v>5018</v>
      </c>
      <c r="I69" s="5">
        <f>3680</f>
        <v>3680</v>
      </c>
      <c r="J69" s="5">
        <f>3306</f>
        <v>3306</v>
      </c>
      <c r="K69" s="5">
        <f>3677</f>
        <v>3677</v>
      </c>
      <c r="L69" s="5">
        <f>3002</f>
        <v>3002</v>
      </c>
      <c r="M69" s="5">
        <f>2684</f>
        <v>2684</v>
      </c>
      <c r="N69" s="5">
        <f t="shared" si="13"/>
        <v>48056</v>
      </c>
    </row>
    <row r="70" spans="1:14" x14ac:dyDescent="0.3">
      <c r="A70" s="3" t="s">
        <v>77</v>
      </c>
      <c r="B70" s="5">
        <f>5492.5</f>
        <v>5492.5</v>
      </c>
      <c r="C70" s="5">
        <f>6157.5</f>
        <v>6157.5</v>
      </c>
      <c r="D70" s="5">
        <f>6017.5</f>
        <v>6017.5</v>
      </c>
      <c r="E70" s="5">
        <f>5507.5</f>
        <v>5507.5</v>
      </c>
      <c r="F70" s="5">
        <f>5744.5</f>
        <v>5744.5</v>
      </c>
      <c r="G70" s="5">
        <f>5616.25</f>
        <v>5616.25</v>
      </c>
      <c r="H70" s="5">
        <f>5477.5</f>
        <v>5477.5</v>
      </c>
      <c r="I70" s="5">
        <f>5279</f>
        <v>5279</v>
      </c>
      <c r="J70" s="5">
        <f>5277.5</f>
        <v>5277.5</v>
      </c>
      <c r="K70" s="5">
        <f>5443.75</f>
        <v>5443.75</v>
      </c>
      <c r="L70" s="5">
        <f>4747.5</f>
        <v>4747.5</v>
      </c>
      <c r="M70" s="5">
        <f>4687.5</f>
        <v>4687.5</v>
      </c>
      <c r="N70" s="5">
        <f t="shared" si="13"/>
        <v>65448.5</v>
      </c>
    </row>
    <row r="71" spans="1:14" x14ac:dyDescent="0.3">
      <c r="A71" s="3" t="s">
        <v>78</v>
      </c>
      <c r="B71" s="4"/>
      <c r="C71" s="4"/>
      <c r="D71" s="4"/>
      <c r="E71" s="4"/>
      <c r="F71" s="4"/>
      <c r="G71" s="4"/>
      <c r="H71" s="4"/>
      <c r="I71" s="4"/>
      <c r="J71" s="4"/>
      <c r="K71" s="5">
        <f>500</f>
        <v>500</v>
      </c>
      <c r="L71" s="5">
        <f>1000</f>
        <v>1000</v>
      </c>
      <c r="M71" s="5">
        <f>1000</f>
        <v>1000</v>
      </c>
      <c r="N71" s="5">
        <f t="shared" si="13"/>
        <v>2500</v>
      </c>
    </row>
    <row r="72" spans="1:14" x14ac:dyDescent="0.3">
      <c r="A72" s="3" t="s">
        <v>79</v>
      </c>
      <c r="B72" s="5">
        <f>1218</f>
        <v>1218</v>
      </c>
      <c r="C72" s="5">
        <f>756</f>
        <v>756</v>
      </c>
      <c r="D72" s="5">
        <f>1098</f>
        <v>1098</v>
      </c>
      <c r="E72" s="5">
        <f>1022</f>
        <v>1022</v>
      </c>
      <c r="F72" s="5">
        <f>1131</f>
        <v>1131</v>
      </c>
      <c r="G72" s="5">
        <f>542</f>
        <v>542</v>
      </c>
      <c r="H72" s="5">
        <f>990</f>
        <v>990</v>
      </c>
      <c r="I72" s="5">
        <f>503</f>
        <v>503</v>
      </c>
      <c r="J72" s="5">
        <f>622</f>
        <v>622</v>
      </c>
      <c r="K72" s="5">
        <f>658</f>
        <v>658</v>
      </c>
      <c r="L72" s="5">
        <f>152</f>
        <v>152</v>
      </c>
      <c r="M72" s="5">
        <f>280</f>
        <v>280</v>
      </c>
      <c r="N72" s="5">
        <f t="shared" si="13"/>
        <v>8972</v>
      </c>
    </row>
    <row r="73" spans="1:14" x14ac:dyDescent="0.3">
      <c r="A73" s="3" t="s">
        <v>80</v>
      </c>
      <c r="B73" s="4"/>
      <c r="C73" s="4"/>
      <c r="D73" s="5">
        <f>3392</f>
        <v>3392</v>
      </c>
      <c r="E73" s="5">
        <f>3176</f>
        <v>3176</v>
      </c>
      <c r="F73" s="5">
        <f>3887</f>
        <v>3887</v>
      </c>
      <c r="G73" s="5">
        <f>3481.6</f>
        <v>3481.6</v>
      </c>
      <c r="H73" s="5">
        <f>4118</f>
        <v>4118</v>
      </c>
      <c r="I73" s="5">
        <f>4152</f>
        <v>4152</v>
      </c>
      <c r="J73" s="5">
        <f>4565</f>
        <v>4565</v>
      </c>
      <c r="K73" s="5">
        <f>3943.2</f>
        <v>3943.2</v>
      </c>
      <c r="L73" s="5">
        <f>3666.4</f>
        <v>3666.4</v>
      </c>
      <c r="M73" s="5">
        <f>3946</f>
        <v>3946</v>
      </c>
      <c r="N73" s="5">
        <f t="shared" si="13"/>
        <v>38327.199999999997</v>
      </c>
    </row>
    <row r="74" spans="1:14" x14ac:dyDescent="0.3">
      <c r="A74" s="3" t="s">
        <v>81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">
        <f>501.89</f>
        <v>501.89</v>
      </c>
      <c r="N74" s="5">
        <f t="shared" si="13"/>
        <v>501.89</v>
      </c>
    </row>
    <row r="75" spans="1:14" x14ac:dyDescent="0.3">
      <c r="A75" s="3" t="s">
        <v>82</v>
      </c>
      <c r="B75" s="4"/>
      <c r="C75" s="5">
        <f>120</f>
        <v>120</v>
      </c>
      <c r="D75" s="5">
        <f>408</f>
        <v>408</v>
      </c>
      <c r="E75" s="5">
        <f>650.25</f>
        <v>650.25</v>
      </c>
      <c r="F75" s="5">
        <f>692.25</f>
        <v>692.25</v>
      </c>
      <c r="G75" s="5">
        <f>757.75</f>
        <v>757.75</v>
      </c>
      <c r="H75" s="5">
        <f>549</f>
        <v>549</v>
      </c>
      <c r="I75" s="5">
        <f>440</f>
        <v>440</v>
      </c>
      <c r="J75" s="5">
        <f>373</f>
        <v>373</v>
      </c>
      <c r="K75" s="5">
        <f>554.8</f>
        <v>554.79999999999995</v>
      </c>
      <c r="L75" s="5">
        <f>438</f>
        <v>438</v>
      </c>
      <c r="M75" s="5">
        <f>366</f>
        <v>366</v>
      </c>
      <c r="N75" s="5">
        <f t="shared" si="13"/>
        <v>5349.05</v>
      </c>
    </row>
    <row r="76" spans="1:14" x14ac:dyDescent="0.3">
      <c r="A76" s="3" t="s">
        <v>83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">
        <f>4583.34</f>
        <v>4583.34</v>
      </c>
      <c r="N76" s="5">
        <f t="shared" si="13"/>
        <v>4583.34</v>
      </c>
    </row>
    <row r="77" spans="1:14" x14ac:dyDescent="0.3">
      <c r="A77" s="3" t="s">
        <v>84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">
        <f>627</f>
        <v>627</v>
      </c>
      <c r="N77" s="5">
        <f t="shared" si="13"/>
        <v>627</v>
      </c>
    </row>
    <row r="78" spans="1:14" x14ac:dyDescent="0.3">
      <c r="A78" s="3" t="s">
        <v>85</v>
      </c>
      <c r="B78" s="6">
        <f t="shared" ref="B78:M78" si="19">(((((((((B68)+(B69))+(B70))+(B71))+(B72))+(B73))+(B74))+(B75))+(B76))+(B77)</f>
        <v>10252</v>
      </c>
      <c r="C78" s="6">
        <f t="shared" si="19"/>
        <v>11396.5</v>
      </c>
      <c r="D78" s="6">
        <f t="shared" si="19"/>
        <v>16108</v>
      </c>
      <c r="E78" s="6">
        <f t="shared" si="19"/>
        <v>14863.75</v>
      </c>
      <c r="F78" s="6">
        <f t="shared" si="19"/>
        <v>16099.75</v>
      </c>
      <c r="G78" s="6">
        <f t="shared" si="19"/>
        <v>14836.6</v>
      </c>
      <c r="H78" s="6">
        <f t="shared" si="19"/>
        <v>16152.5</v>
      </c>
      <c r="I78" s="6">
        <f t="shared" si="19"/>
        <v>14054</v>
      </c>
      <c r="J78" s="6">
        <f t="shared" si="19"/>
        <v>14143.5</v>
      </c>
      <c r="K78" s="6">
        <f t="shared" si="19"/>
        <v>14776.75</v>
      </c>
      <c r="L78" s="6">
        <f t="shared" si="19"/>
        <v>13005.9</v>
      </c>
      <c r="M78" s="6">
        <f t="shared" si="19"/>
        <v>18675.73</v>
      </c>
      <c r="N78" s="6">
        <f t="shared" si="13"/>
        <v>174364.98</v>
      </c>
    </row>
    <row r="79" spans="1:14" x14ac:dyDescent="0.3">
      <c r="A79" s="3" t="s">
        <v>86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>
        <f t="shared" si="13"/>
        <v>0</v>
      </c>
    </row>
    <row r="80" spans="1:14" x14ac:dyDescent="0.3">
      <c r="A80" s="3" t="s">
        <v>87</v>
      </c>
      <c r="B80" s="4"/>
      <c r="C80" s="4"/>
      <c r="D80" s="4"/>
      <c r="E80" s="4"/>
      <c r="F80" s="4"/>
      <c r="G80" s="4"/>
      <c r="H80" s="4"/>
      <c r="I80" s="4"/>
      <c r="J80" s="5">
        <f>2221.34</f>
        <v>2221.34</v>
      </c>
      <c r="K80" s="4"/>
      <c r="L80" s="5">
        <f>1231.4</f>
        <v>1231.4000000000001</v>
      </c>
      <c r="M80" s="4"/>
      <c r="N80" s="5">
        <f t="shared" si="13"/>
        <v>3452.7400000000002</v>
      </c>
    </row>
    <row r="81" spans="1:16" x14ac:dyDescent="0.3">
      <c r="A81" s="3" t="s">
        <v>88</v>
      </c>
      <c r="B81" s="5">
        <f>450.27</f>
        <v>450.27</v>
      </c>
      <c r="C81" s="5">
        <f>527.56</f>
        <v>527.55999999999995</v>
      </c>
      <c r="D81" s="5">
        <f>729.8</f>
        <v>729.8</v>
      </c>
      <c r="E81" s="5">
        <f>454.38</f>
        <v>454.38</v>
      </c>
      <c r="F81" s="5">
        <f>523.04</f>
        <v>523.04</v>
      </c>
      <c r="G81" s="5">
        <f>1147.78</f>
        <v>1147.78</v>
      </c>
      <c r="H81" s="5">
        <f>724.73</f>
        <v>724.73</v>
      </c>
      <c r="I81" s="5">
        <f>630.17</f>
        <v>630.16999999999996</v>
      </c>
      <c r="J81" s="5">
        <f>492.03</f>
        <v>492.03</v>
      </c>
      <c r="K81" s="5">
        <f>415.25</f>
        <v>415.25</v>
      </c>
      <c r="L81" s="5">
        <f>1308.88</f>
        <v>1308.8800000000001</v>
      </c>
      <c r="M81" s="5">
        <f>910.73</f>
        <v>910.73</v>
      </c>
      <c r="N81" s="5">
        <f t="shared" si="13"/>
        <v>8314.619999999999</v>
      </c>
    </row>
    <row r="82" spans="1:16" x14ac:dyDescent="0.3">
      <c r="A82" s="3" t="s">
        <v>89</v>
      </c>
      <c r="B82" s="5">
        <f>1300.93</f>
        <v>1300.93</v>
      </c>
      <c r="C82" s="5">
        <f>1077.21</f>
        <v>1077.21</v>
      </c>
      <c r="D82" s="5">
        <f>711.39</f>
        <v>711.39</v>
      </c>
      <c r="E82" s="5">
        <f>612.34</f>
        <v>612.34</v>
      </c>
      <c r="F82" s="5">
        <f>761.8</f>
        <v>761.8</v>
      </c>
      <c r="G82" s="5">
        <f>1753.86</f>
        <v>1753.86</v>
      </c>
      <c r="H82" s="5">
        <f>1365.81</f>
        <v>1365.81</v>
      </c>
      <c r="I82" s="5">
        <f>1527.19</f>
        <v>1527.19</v>
      </c>
      <c r="J82" s="5">
        <f>742.54</f>
        <v>742.54</v>
      </c>
      <c r="K82" s="5">
        <f>1175.64</f>
        <v>1175.6400000000001</v>
      </c>
      <c r="L82" s="5">
        <f>881.93</f>
        <v>881.93</v>
      </c>
      <c r="M82" s="5">
        <f>755.75</f>
        <v>755.75</v>
      </c>
      <c r="N82" s="5">
        <f t="shared" si="13"/>
        <v>12666.39</v>
      </c>
    </row>
    <row r="83" spans="1:16" x14ac:dyDescent="0.3">
      <c r="A83" s="3" t="s">
        <v>90</v>
      </c>
      <c r="B83" s="6">
        <f t="shared" ref="B83:M83" si="20">(((B79)+(B80))+(B81))+(B82)</f>
        <v>1751.2</v>
      </c>
      <c r="C83" s="6">
        <f t="shared" si="20"/>
        <v>1604.77</v>
      </c>
      <c r="D83" s="6">
        <f t="shared" si="20"/>
        <v>1441.19</v>
      </c>
      <c r="E83" s="6">
        <f t="shared" si="20"/>
        <v>1066.72</v>
      </c>
      <c r="F83" s="6">
        <f t="shared" si="20"/>
        <v>1284.8399999999999</v>
      </c>
      <c r="G83" s="6">
        <f t="shared" si="20"/>
        <v>2901.64</v>
      </c>
      <c r="H83" s="6">
        <f t="shared" si="20"/>
        <v>2090.54</v>
      </c>
      <c r="I83" s="6">
        <f t="shared" si="20"/>
        <v>2157.36</v>
      </c>
      <c r="J83" s="6">
        <f t="shared" si="20"/>
        <v>3455.91</v>
      </c>
      <c r="K83" s="6">
        <f t="shared" si="20"/>
        <v>1590.89</v>
      </c>
      <c r="L83" s="6">
        <f t="shared" si="20"/>
        <v>3422.21</v>
      </c>
      <c r="M83" s="6">
        <f t="shared" si="20"/>
        <v>1666.48</v>
      </c>
      <c r="N83" s="6">
        <f t="shared" si="13"/>
        <v>24433.75</v>
      </c>
    </row>
    <row r="84" spans="1:16" x14ac:dyDescent="0.3">
      <c r="A84" s="3" t="s">
        <v>91</v>
      </c>
      <c r="B84" s="5">
        <f>174.15</f>
        <v>174.15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>
        <f t="shared" si="13"/>
        <v>174.15</v>
      </c>
    </row>
    <row r="85" spans="1:16" x14ac:dyDescent="0.3">
      <c r="A85" s="3" t="s">
        <v>92</v>
      </c>
      <c r="B85" s="4"/>
      <c r="C85" s="4"/>
      <c r="D85" s="4"/>
      <c r="E85" s="4"/>
      <c r="F85" s="4"/>
      <c r="G85" s="4"/>
      <c r="H85" s="4"/>
      <c r="I85" s="4"/>
      <c r="J85" s="5">
        <f>36.82</f>
        <v>36.82</v>
      </c>
      <c r="K85" s="4"/>
      <c r="L85" s="4"/>
      <c r="M85" s="4"/>
      <c r="N85" s="5">
        <f t="shared" si="13"/>
        <v>36.82</v>
      </c>
    </row>
    <row r="86" spans="1:16" x14ac:dyDescent="0.3">
      <c r="A86" s="3" t="s">
        <v>93</v>
      </c>
      <c r="B86" s="6">
        <f t="shared" ref="B86:M86" si="21">(B84)+(B85)</f>
        <v>174.15</v>
      </c>
      <c r="C86" s="6">
        <f t="shared" si="21"/>
        <v>0</v>
      </c>
      <c r="D86" s="6">
        <f t="shared" si="21"/>
        <v>0</v>
      </c>
      <c r="E86" s="6">
        <f t="shared" si="21"/>
        <v>0</v>
      </c>
      <c r="F86" s="6">
        <f t="shared" si="21"/>
        <v>0</v>
      </c>
      <c r="G86" s="6">
        <f t="shared" si="21"/>
        <v>0</v>
      </c>
      <c r="H86" s="6">
        <f t="shared" si="21"/>
        <v>0</v>
      </c>
      <c r="I86" s="6">
        <f t="shared" si="21"/>
        <v>0</v>
      </c>
      <c r="J86" s="6">
        <f t="shared" si="21"/>
        <v>36.82</v>
      </c>
      <c r="K86" s="6">
        <f t="shared" si="21"/>
        <v>0</v>
      </c>
      <c r="L86" s="6">
        <f t="shared" si="21"/>
        <v>0</v>
      </c>
      <c r="M86" s="6">
        <f t="shared" si="21"/>
        <v>0</v>
      </c>
      <c r="N86" s="6">
        <f t="shared" si="13"/>
        <v>210.97</v>
      </c>
    </row>
    <row r="87" spans="1:16" x14ac:dyDescent="0.3">
      <c r="A87" s="3" t="s">
        <v>94</v>
      </c>
      <c r="B87" s="6">
        <f t="shared" ref="B87:M87" si="22">((((((B27)+(B34))+(B63))+(B67))+(B78))+(B83))+(B86)</f>
        <v>40310.32</v>
      </c>
      <c r="C87" s="6">
        <f t="shared" si="22"/>
        <v>42318.74</v>
      </c>
      <c r="D87" s="6">
        <f t="shared" si="22"/>
        <v>48154.86</v>
      </c>
      <c r="E87" s="6">
        <f t="shared" si="22"/>
        <v>43600.72</v>
      </c>
      <c r="F87" s="6">
        <f t="shared" si="22"/>
        <v>48508.36</v>
      </c>
      <c r="G87" s="6">
        <f t="shared" si="22"/>
        <v>46118</v>
      </c>
      <c r="H87" s="6">
        <f t="shared" si="22"/>
        <v>47032.66</v>
      </c>
      <c r="I87" s="6">
        <f t="shared" si="22"/>
        <v>42268.07</v>
      </c>
      <c r="J87" s="6">
        <f t="shared" si="22"/>
        <v>45453.88</v>
      </c>
      <c r="K87" s="6">
        <f t="shared" si="22"/>
        <v>41697.67</v>
      </c>
      <c r="L87" s="6">
        <f t="shared" si="22"/>
        <v>44552.69</v>
      </c>
      <c r="M87" s="6">
        <f t="shared" si="22"/>
        <v>41154.959999999999</v>
      </c>
      <c r="N87" s="6">
        <f t="shared" ref="N87:N118" si="23">(((((((((((B87)+(C87))+(D87))+(E87))+(F87))+(G87))+(H87))+(I87))+(J87))+(K87))+(L87))+(M87)</f>
        <v>531170.93000000005</v>
      </c>
    </row>
    <row r="88" spans="1:16" x14ac:dyDescent="0.3">
      <c r="A88" s="3" t="s">
        <v>95</v>
      </c>
      <c r="B88" s="6">
        <f t="shared" ref="B88:M88" si="24">(B21)-(B87)</f>
        <v>12906.570000000007</v>
      </c>
      <c r="C88" s="6">
        <f t="shared" si="24"/>
        <v>7414.93</v>
      </c>
      <c r="D88" s="6">
        <f t="shared" si="24"/>
        <v>15769.160000000003</v>
      </c>
      <c r="E88" s="6">
        <f t="shared" si="24"/>
        <v>8804.6699999999983</v>
      </c>
      <c r="F88" s="6">
        <f t="shared" si="24"/>
        <v>3497.5499999999956</v>
      </c>
      <c r="G88" s="6">
        <f t="shared" si="24"/>
        <v>10342.330000000002</v>
      </c>
      <c r="H88" s="6">
        <f t="shared" si="24"/>
        <v>8580.4799999999886</v>
      </c>
      <c r="I88" s="6">
        <f t="shared" si="24"/>
        <v>4352.0199999999968</v>
      </c>
      <c r="J88" s="6">
        <f t="shared" si="24"/>
        <v>4751.6399999999994</v>
      </c>
      <c r="K88" s="6">
        <f t="shared" si="24"/>
        <v>8799.2099999999991</v>
      </c>
      <c r="L88" s="6">
        <f t="shared" si="24"/>
        <v>1909.5999999999913</v>
      </c>
      <c r="M88" s="6">
        <f t="shared" si="24"/>
        <v>3570.3700000000099</v>
      </c>
      <c r="N88" s="6">
        <f t="shared" si="23"/>
        <v>90698.53</v>
      </c>
    </row>
    <row r="89" spans="1:16" x14ac:dyDescent="0.3">
      <c r="A89" s="3" t="s">
        <v>96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6" x14ac:dyDescent="0.3">
      <c r="A90" s="3" t="s">
        <v>97</v>
      </c>
      <c r="B90" s="4"/>
      <c r="C90" s="4"/>
      <c r="D90" s="4"/>
      <c r="E90" s="4"/>
      <c r="F90" s="4"/>
      <c r="G90" s="5">
        <f>98.14</f>
        <v>98.14</v>
      </c>
      <c r="H90" s="4"/>
      <c r="I90" s="4"/>
      <c r="J90" s="4"/>
      <c r="K90" s="4"/>
      <c r="L90" s="4"/>
      <c r="M90" s="4"/>
      <c r="N90" s="5">
        <f>(((((((((((B90)+(C90))+(D90))+(E90))+(F90))+(G90))+(H90))+(I90))+(J90))+(K90))+(L90))+(M90)</f>
        <v>98.14</v>
      </c>
    </row>
    <row r="91" spans="1:16" x14ac:dyDescent="0.3">
      <c r="A91" s="3" t="s">
        <v>98</v>
      </c>
      <c r="B91" s="5">
        <f>268.08</f>
        <v>268.08</v>
      </c>
      <c r="C91" s="5">
        <f>250.99</f>
        <v>250.99</v>
      </c>
      <c r="D91" s="5">
        <f>294.7</f>
        <v>294.7</v>
      </c>
      <c r="E91" s="5">
        <f>263.48</f>
        <v>263.48</v>
      </c>
      <c r="F91" s="5">
        <f>238.41</f>
        <v>238.41</v>
      </c>
      <c r="G91" s="5">
        <f>250.68</f>
        <v>250.68</v>
      </c>
      <c r="H91" s="5">
        <f>276.26</f>
        <v>276.26</v>
      </c>
      <c r="I91" s="5">
        <f>262.33</f>
        <v>262.33</v>
      </c>
      <c r="J91" s="5">
        <f>239.24</f>
        <v>239.24</v>
      </c>
      <c r="K91" s="5">
        <f>248.48</f>
        <v>248.48</v>
      </c>
      <c r="L91" s="5">
        <f>224.06</f>
        <v>224.06</v>
      </c>
      <c r="M91" s="16"/>
      <c r="N91" s="5">
        <f>(((((((((((B91)+(C91))+(D91))+(E91))+(F91))+(G91))+(H91))+(I91))+(J91))+(K91))+(L91))+(M91)</f>
        <v>2816.71</v>
      </c>
      <c r="P91" t="s">
        <v>196</v>
      </c>
    </row>
    <row r="92" spans="1:16" x14ac:dyDescent="0.3">
      <c r="A92" s="3" t="s">
        <v>99</v>
      </c>
      <c r="B92" s="6">
        <f t="shared" ref="B92:M92" si="25">(B90)+(B91)</f>
        <v>268.08</v>
      </c>
      <c r="C92" s="6">
        <f t="shared" si="25"/>
        <v>250.99</v>
      </c>
      <c r="D92" s="6">
        <f t="shared" si="25"/>
        <v>294.7</v>
      </c>
      <c r="E92" s="6">
        <f t="shared" si="25"/>
        <v>263.48</v>
      </c>
      <c r="F92" s="6">
        <f t="shared" si="25"/>
        <v>238.41</v>
      </c>
      <c r="G92" s="6">
        <f t="shared" si="25"/>
        <v>348.82</v>
      </c>
      <c r="H92" s="6">
        <f t="shared" si="25"/>
        <v>276.26</v>
      </c>
      <c r="I92" s="6">
        <f t="shared" si="25"/>
        <v>262.33</v>
      </c>
      <c r="J92" s="6">
        <f t="shared" si="25"/>
        <v>239.24</v>
      </c>
      <c r="K92" s="6">
        <f t="shared" si="25"/>
        <v>248.48</v>
      </c>
      <c r="L92" s="6">
        <f t="shared" si="25"/>
        <v>224.06</v>
      </c>
      <c r="M92" s="6">
        <f t="shared" si="25"/>
        <v>0</v>
      </c>
      <c r="N92" s="6">
        <f>(((((((((((B92)+(C92))+(D92))+(E92))+(F92))+(G92))+(H92))+(I92))+(J92))+(K92))+(L92))+(M92)</f>
        <v>2914.8500000000004</v>
      </c>
    </row>
    <row r="93" spans="1:16" x14ac:dyDescent="0.3">
      <c r="A93" s="3" t="s">
        <v>100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6" x14ac:dyDescent="0.3">
      <c r="A94" s="3" t="s">
        <v>101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>
        <f t="shared" ref="N94:N99" si="26">(((((((((((B94)+(C94))+(D94))+(E94))+(F94))+(G94))+(H94))+(I94))+(J94))+(K94))+(L94))+(M94)</f>
        <v>0</v>
      </c>
    </row>
    <row r="95" spans="1:16" x14ac:dyDescent="0.3">
      <c r="A95" s="3" t="s">
        <v>102</v>
      </c>
      <c r="B95" s="5">
        <f>41.97</f>
        <v>41.97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>
        <f t="shared" si="26"/>
        <v>41.97</v>
      </c>
    </row>
    <row r="96" spans="1:16" x14ac:dyDescent="0.3">
      <c r="A96" s="3" t="s">
        <v>103</v>
      </c>
      <c r="B96" s="6">
        <f t="shared" ref="B96:M96" si="27">(B94)+(B95)</f>
        <v>41.97</v>
      </c>
      <c r="C96" s="6">
        <f t="shared" si="27"/>
        <v>0</v>
      </c>
      <c r="D96" s="6">
        <f t="shared" si="27"/>
        <v>0</v>
      </c>
      <c r="E96" s="6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0</v>
      </c>
      <c r="I96" s="6">
        <f t="shared" si="27"/>
        <v>0</v>
      </c>
      <c r="J96" s="6">
        <f t="shared" si="27"/>
        <v>0</v>
      </c>
      <c r="K96" s="6">
        <f t="shared" si="27"/>
        <v>0</v>
      </c>
      <c r="L96" s="6">
        <f t="shared" si="27"/>
        <v>0</v>
      </c>
      <c r="M96" s="6">
        <f t="shared" si="27"/>
        <v>0</v>
      </c>
      <c r="N96" s="6">
        <f t="shared" si="26"/>
        <v>41.97</v>
      </c>
    </row>
    <row r="97" spans="1:14" x14ac:dyDescent="0.3">
      <c r="A97" s="3" t="s">
        <v>104</v>
      </c>
      <c r="B97" s="6">
        <f t="shared" ref="B97:M97" si="28">B96</f>
        <v>41.97</v>
      </c>
      <c r="C97" s="6">
        <f t="shared" si="28"/>
        <v>0</v>
      </c>
      <c r="D97" s="6">
        <f t="shared" si="28"/>
        <v>0</v>
      </c>
      <c r="E97" s="6">
        <f t="shared" si="28"/>
        <v>0</v>
      </c>
      <c r="F97" s="6">
        <f t="shared" si="28"/>
        <v>0</v>
      </c>
      <c r="G97" s="6">
        <f t="shared" si="28"/>
        <v>0</v>
      </c>
      <c r="H97" s="6">
        <f t="shared" si="28"/>
        <v>0</v>
      </c>
      <c r="I97" s="6">
        <f t="shared" si="28"/>
        <v>0</v>
      </c>
      <c r="J97" s="6">
        <f t="shared" si="28"/>
        <v>0</v>
      </c>
      <c r="K97" s="6">
        <f t="shared" si="28"/>
        <v>0</v>
      </c>
      <c r="L97" s="6">
        <f t="shared" si="28"/>
        <v>0</v>
      </c>
      <c r="M97" s="6">
        <f t="shared" si="28"/>
        <v>0</v>
      </c>
      <c r="N97" s="6">
        <f t="shared" si="26"/>
        <v>41.97</v>
      </c>
    </row>
    <row r="98" spans="1:14" x14ac:dyDescent="0.3">
      <c r="A98" s="3" t="s">
        <v>105</v>
      </c>
      <c r="B98" s="6">
        <f t="shared" ref="B98:M98" si="29">(B92)-(B97)</f>
        <v>226.10999999999999</v>
      </c>
      <c r="C98" s="6">
        <f t="shared" si="29"/>
        <v>250.99</v>
      </c>
      <c r="D98" s="6">
        <f t="shared" si="29"/>
        <v>294.7</v>
      </c>
      <c r="E98" s="6">
        <f t="shared" si="29"/>
        <v>263.48</v>
      </c>
      <c r="F98" s="6">
        <f t="shared" si="29"/>
        <v>238.41</v>
      </c>
      <c r="G98" s="6">
        <f t="shared" si="29"/>
        <v>348.82</v>
      </c>
      <c r="H98" s="6">
        <f t="shared" si="29"/>
        <v>276.26</v>
      </c>
      <c r="I98" s="6">
        <f t="shared" si="29"/>
        <v>262.33</v>
      </c>
      <c r="J98" s="6">
        <f t="shared" si="29"/>
        <v>239.24</v>
      </c>
      <c r="K98" s="6">
        <f t="shared" si="29"/>
        <v>248.48</v>
      </c>
      <c r="L98" s="6">
        <f t="shared" si="29"/>
        <v>224.06</v>
      </c>
      <c r="M98" s="6">
        <f t="shared" si="29"/>
        <v>0</v>
      </c>
      <c r="N98" s="6">
        <f t="shared" si="26"/>
        <v>2872.88</v>
      </c>
    </row>
    <row r="99" spans="1:14" x14ac:dyDescent="0.3">
      <c r="A99" s="3" t="s">
        <v>106</v>
      </c>
      <c r="B99" s="7">
        <f t="shared" ref="B99:M99" si="30">(B88)+(B98)</f>
        <v>13132.680000000008</v>
      </c>
      <c r="C99" s="7">
        <f t="shared" si="30"/>
        <v>7665.92</v>
      </c>
      <c r="D99" s="7">
        <f t="shared" si="30"/>
        <v>16063.860000000004</v>
      </c>
      <c r="E99" s="7">
        <f t="shared" si="30"/>
        <v>9068.1499999999978</v>
      </c>
      <c r="F99" s="7">
        <f t="shared" si="30"/>
        <v>3735.9599999999955</v>
      </c>
      <c r="G99" s="7">
        <f t="shared" si="30"/>
        <v>10691.150000000001</v>
      </c>
      <c r="H99" s="7">
        <f t="shared" si="30"/>
        <v>8856.7399999999889</v>
      </c>
      <c r="I99" s="7">
        <f t="shared" si="30"/>
        <v>4614.3499999999967</v>
      </c>
      <c r="J99" s="7">
        <f t="shared" si="30"/>
        <v>4990.8799999999992</v>
      </c>
      <c r="K99" s="7">
        <f t="shared" si="30"/>
        <v>9047.6899999999987</v>
      </c>
      <c r="L99" s="7">
        <f t="shared" si="30"/>
        <v>2133.6599999999912</v>
      </c>
      <c r="M99" s="7">
        <f t="shared" si="30"/>
        <v>3570.3700000000099</v>
      </c>
      <c r="N99" s="7">
        <f t="shared" si="26"/>
        <v>93571.409999999974</v>
      </c>
    </row>
    <row r="100" spans="1:14" x14ac:dyDescent="0.3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3" spans="1:14" x14ac:dyDescent="0.3">
      <c r="A103" s="8" t="s">
        <v>107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</sheetData>
  <mergeCells count="4">
    <mergeCell ref="A103:N103"/>
    <mergeCell ref="A1:N1"/>
    <mergeCell ref="A2:N2"/>
    <mergeCell ref="A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7CE9-B888-4B35-A79C-9DE91EFC02CB}">
  <dimension ref="A1:D112"/>
  <sheetViews>
    <sheetView workbookViewId="0">
      <selection activeCell="B4" sqref="B1:B1048576"/>
    </sheetView>
  </sheetViews>
  <sheetFormatPr defaultRowHeight="14.4" x14ac:dyDescent="0.3"/>
  <cols>
    <col min="1" max="1" width="34.33203125" customWidth="1"/>
    <col min="2" max="2" width="16.6640625" customWidth="1"/>
    <col min="3" max="3" width="16" customWidth="1"/>
    <col min="4" max="4" width="10.33203125" customWidth="1"/>
  </cols>
  <sheetData>
    <row r="1" spans="1:4" ht="17.399999999999999" x14ac:dyDescent="0.3">
      <c r="A1" s="10" t="s">
        <v>108</v>
      </c>
      <c r="B1" s="9"/>
      <c r="C1" s="9"/>
      <c r="D1" s="9"/>
    </row>
    <row r="2" spans="1:4" ht="17.399999999999999" x14ac:dyDescent="0.3">
      <c r="A2" s="10" t="s">
        <v>109</v>
      </c>
      <c r="B2" s="9"/>
      <c r="C2" s="9"/>
      <c r="D2" s="9"/>
    </row>
    <row r="3" spans="1:4" x14ac:dyDescent="0.3">
      <c r="A3" s="11" t="s">
        <v>110</v>
      </c>
      <c r="B3" s="9"/>
      <c r="C3" s="9"/>
      <c r="D3" s="9"/>
    </row>
    <row r="5" spans="1:4" x14ac:dyDescent="0.3">
      <c r="A5" s="1"/>
      <c r="B5" s="15"/>
      <c r="C5" s="15"/>
      <c r="D5" s="15"/>
    </row>
    <row r="6" spans="1:4" x14ac:dyDescent="0.3">
      <c r="A6" s="1"/>
      <c r="B6" s="2" t="s">
        <v>126</v>
      </c>
      <c r="C6" s="2" t="s">
        <v>125</v>
      </c>
      <c r="D6" s="2" t="s">
        <v>124</v>
      </c>
    </row>
    <row r="7" spans="1:4" x14ac:dyDescent="0.3">
      <c r="A7" s="3" t="s">
        <v>13</v>
      </c>
      <c r="B7" s="4"/>
      <c r="C7" s="4"/>
      <c r="D7" s="4"/>
    </row>
    <row r="8" spans="1:4" x14ac:dyDescent="0.3">
      <c r="A8" s="3" t="s">
        <v>14</v>
      </c>
      <c r="B8" s="5">
        <f>22355.87</f>
        <v>22355.87</v>
      </c>
      <c r="C8" s="5">
        <f>16623.06</f>
        <v>16623.060000000001</v>
      </c>
      <c r="D8" s="14">
        <f>IF(ABS((B8))=0,"",((C8)-(B8))/(ABS((B8))))</f>
        <v>-0.25643421615888795</v>
      </c>
    </row>
    <row r="9" spans="1:4" x14ac:dyDescent="0.3">
      <c r="A9" s="3" t="s">
        <v>123</v>
      </c>
      <c r="B9" s="5">
        <f>40</f>
        <v>40</v>
      </c>
      <c r="C9" s="4"/>
      <c r="D9" s="14">
        <f>IF(ABS((B9))=0,"",((C9)-(B9))/(ABS((B9))))</f>
        <v>-1</v>
      </c>
    </row>
    <row r="10" spans="1:4" x14ac:dyDescent="0.3">
      <c r="A10" s="3" t="s">
        <v>15</v>
      </c>
      <c r="B10" s="4"/>
      <c r="C10" s="5">
        <f>33</f>
        <v>33</v>
      </c>
      <c r="D10" s="14" t="str">
        <f>IF(ABS((B10))=0,"",((C10)-(B10))/(ABS((B10))))</f>
        <v/>
      </c>
    </row>
    <row r="11" spans="1:4" x14ac:dyDescent="0.3">
      <c r="A11" s="3" t="s">
        <v>16</v>
      </c>
      <c r="B11" s="5">
        <f>38646.8</f>
        <v>38646.800000000003</v>
      </c>
      <c r="C11" s="5">
        <f>25505.4</f>
        <v>25505.4</v>
      </c>
      <c r="D11" s="14">
        <f>IF(ABS((B11))=0,"",((C11)-(B11))/(ABS((B11))))</f>
        <v>-0.34003850254096069</v>
      </c>
    </row>
    <row r="12" spans="1:4" x14ac:dyDescent="0.3">
      <c r="A12" s="3" t="s">
        <v>17</v>
      </c>
      <c r="B12" s="4"/>
      <c r="C12" s="5">
        <f>1217.15</f>
        <v>1217.1500000000001</v>
      </c>
      <c r="D12" s="14" t="str">
        <f>IF(ABS((B12))=0,"",((C12)-(B12))/(ABS((B12))))</f>
        <v/>
      </c>
    </row>
    <row r="13" spans="1:4" x14ac:dyDescent="0.3">
      <c r="A13" s="3" t="s">
        <v>18</v>
      </c>
      <c r="B13" s="5">
        <f>538715.24</f>
        <v>538715.24</v>
      </c>
      <c r="C13" s="5">
        <f>506835.4</f>
        <v>506835.4</v>
      </c>
      <c r="D13" s="14">
        <f>IF(ABS((B13))=0,"",((C13)-(B13))/(ABS((B13))))</f>
        <v>-5.9177535055440364E-2</v>
      </c>
    </row>
    <row r="14" spans="1:4" x14ac:dyDescent="0.3">
      <c r="A14" s="3" t="s">
        <v>19</v>
      </c>
      <c r="B14" s="4"/>
      <c r="C14" s="5">
        <f>53052</f>
        <v>53052</v>
      </c>
      <c r="D14" s="14" t="str">
        <f>IF(ABS((B14))=0,"",((C14)-(B14))/(ABS((B14))))</f>
        <v/>
      </c>
    </row>
    <row r="15" spans="1:4" x14ac:dyDescent="0.3">
      <c r="A15" s="3" t="s">
        <v>122</v>
      </c>
      <c r="B15" s="5">
        <f>325</f>
        <v>325</v>
      </c>
      <c r="C15" s="4"/>
      <c r="D15" s="14">
        <f>IF(ABS((B15))=0,"",((C15)-(B15))/(ABS((B15))))</f>
        <v>-1</v>
      </c>
    </row>
    <row r="16" spans="1:4" x14ac:dyDescent="0.3">
      <c r="A16" s="3" t="s">
        <v>20</v>
      </c>
      <c r="B16" s="5">
        <f>-10130.99</f>
        <v>-10130.99</v>
      </c>
      <c r="C16" s="5">
        <f>-10549.48</f>
        <v>-10549.48</v>
      </c>
      <c r="D16" s="14">
        <f>IF(ABS((B16))=0,"",((C16)-(B16))/(ABS((B16))))</f>
        <v>-4.1307907716817388E-2</v>
      </c>
    </row>
    <row r="17" spans="1:4" x14ac:dyDescent="0.3">
      <c r="A17" s="3" t="s">
        <v>21</v>
      </c>
      <c r="B17" s="5">
        <f>9087.81</f>
        <v>9087.81</v>
      </c>
      <c r="C17" s="5">
        <f>9485.24</f>
        <v>9485.24</v>
      </c>
      <c r="D17" s="14">
        <f>IF(ABS((B17))=0,"",((C17)-(B17))/(ABS((B17))))</f>
        <v>4.3732208309812851E-2</v>
      </c>
    </row>
    <row r="18" spans="1:4" x14ac:dyDescent="0.3">
      <c r="A18" s="3" t="s">
        <v>22</v>
      </c>
      <c r="B18" s="4"/>
      <c r="C18" s="5">
        <f>13175</f>
        <v>13175</v>
      </c>
      <c r="D18" s="14" t="str">
        <f>IF(ABS((B18))=0,"",((C18)-(B18))/(ABS((B18))))</f>
        <v/>
      </c>
    </row>
    <row r="19" spans="1:4" x14ac:dyDescent="0.3">
      <c r="A19" s="3" t="s">
        <v>23</v>
      </c>
      <c r="B19" s="5">
        <f>23688.64</f>
        <v>23688.639999999999</v>
      </c>
      <c r="C19" s="5">
        <f>20575.46</f>
        <v>20575.46</v>
      </c>
      <c r="D19" s="14">
        <f>IF(ABS((B19))=0,"",((C19)-(B19))/(ABS((B19))))</f>
        <v>-0.13142079916787119</v>
      </c>
    </row>
    <row r="20" spans="1:4" x14ac:dyDescent="0.3">
      <c r="A20" s="3" t="s">
        <v>24</v>
      </c>
      <c r="B20" s="7">
        <f>(((((((((((B8)+(B9))+(B10))+(B11))+(B12))+(B13))+(B14))+(B15))+(B16))+(B17))+(B18))+(B19)</f>
        <v>622728.37000000011</v>
      </c>
      <c r="C20" s="7">
        <f>(((((((((((C8)+(C9))+(C10))+(C11))+(C12))+(C13))+(C14))+(C15))+(C16))+(C17))+(C18))+(C19)</f>
        <v>635952.23</v>
      </c>
      <c r="D20" s="13">
        <f>IF(ABS((B20))=0,"",((C20)-(B20))/(ABS((B20))))</f>
        <v>2.1235358202806573E-2</v>
      </c>
    </row>
    <row r="21" spans="1:4" x14ac:dyDescent="0.3">
      <c r="A21" s="3" t="s">
        <v>25</v>
      </c>
      <c r="B21" s="4"/>
      <c r="C21" s="4"/>
      <c r="D21" s="4"/>
    </row>
    <row r="22" spans="1:4" x14ac:dyDescent="0.3">
      <c r="A22" s="3" t="s">
        <v>26</v>
      </c>
      <c r="B22" s="5">
        <f>6806.16</f>
        <v>6806.16</v>
      </c>
      <c r="C22" s="5">
        <f>14082.77</f>
        <v>14082.77</v>
      </c>
      <c r="D22" s="14">
        <f>IF(ABS((B22))=0,"",((C22)-(B22))/(ABS((B22))))</f>
        <v>1.0691212078470094</v>
      </c>
    </row>
    <row r="23" spans="1:4" x14ac:dyDescent="0.3">
      <c r="A23" s="3" t="s">
        <v>27</v>
      </c>
      <c r="B23" s="7">
        <f>B22</f>
        <v>6806.16</v>
      </c>
      <c r="C23" s="7">
        <f>C22</f>
        <v>14082.77</v>
      </c>
      <c r="D23" s="13">
        <f>IF(ABS((B23))=0,"",((C23)-(B23))/(ABS((B23))))</f>
        <v>1.0691212078470094</v>
      </c>
    </row>
    <row r="24" spans="1:4" x14ac:dyDescent="0.3">
      <c r="A24" s="3" t="s">
        <v>28</v>
      </c>
      <c r="B24" s="7">
        <f>(B20)-(B23)</f>
        <v>615922.21000000008</v>
      </c>
      <c r="C24" s="7">
        <f>(C20)-(C23)</f>
        <v>621869.46</v>
      </c>
      <c r="D24" s="13">
        <f>IF(ABS((B24))=0,"",((C24)-(B24))/(ABS((B24))))</f>
        <v>9.6558459874338393E-3</v>
      </c>
    </row>
    <row r="25" spans="1:4" x14ac:dyDescent="0.3">
      <c r="A25" s="3" t="s">
        <v>29</v>
      </c>
      <c r="B25" s="4"/>
      <c r="C25" s="4"/>
      <c r="D25" s="4"/>
    </row>
    <row r="26" spans="1:4" x14ac:dyDescent="0.3">
      <c r="A26" s="3" t="s">
        <v>30</v>
      </c>
      <c r="B26" s="5">
        <f>4138.33</f>
        <v>4138.33</v>
      </c>
      <c r="C26" s="5">
        <f>18644.63</f>
        <v>18644.63</v>
      </c>
      <c r="D26" s="14">
        <f>IF(ABS((B26))=0,"",((C26)-(B26))/(ABS((B26))))</f>
        <v>3.5053511923892007</v>
      </c>
    </row>
    <row r="27" spans="1:4" x14ac:dyDescent="0.3">
      <c r="A27" s="3" t="s">
        <v>31</v>
      </c>
      <c r="B27" s="5">
        <f>300</f>
        <v>300</v>
      </c>
      <c r="C27" s="5">
        <f>1220</f>
        <v>1220</v>
      </c>
      <c r="D27" s="14">
        <f>IF(ABS((B27))=0,"",((C27)-(B27))/(ABS((B27))))</f>
        <v>3.0666666666666669</v>
      </c>
    </row>
    <row r="28" spans="1:4" x14ac:dyDescent="0.3">
      <c r="A28" s="3" t="s">
        <v>32</v>
      </c>
      <c r="B28" s="5">
        <f>14911</f>
        <v>14911</v>
      </c>
      <c r="C28" s="5">
        <f>7180</f>
        <v>7180</v>
      </c>
      <c r="D28" s="14">
        <f>IF(ABS((B28))=0,"",((C28)-(B28))/(ABS((B28))))</f>
        <v>-0.51847629266984108</v>
      </c>
    </row>
    <row r="29" spans="1:4" x14ac:dyDescent="0.3">
      <c r="A29" s="3" t="s">
        <v>33</v>
      </c>
      <c r="B29" s="5">
        <f>250</f>
        <v>250</v>
      </c>
      <c r="C29" s="5">
        <f>5436.62</f>
        <v>5436.62</v>
      </c>
      <c r="D29" s="14">
        <f>IF(ABS((B29))=0,"",((C29)-(B29))/(ABS((B29))))</f>
        <v>20.746479999999998</v>
      </c>
    </row>
    <row r="30" spans="1:4" x14ac:dyDescent="0.3">
      <c r="A30" s="3" t="s">
        <v>34</v>
      </c>
      <c r="B30" s="7">
        <f>(((B26)+(B27))+(B28))+(B29)</f>
        <v>19599.330000000002</v>
      </c>
      <c r="C30" s="7">
        <f>(((C26)+(C27))+(C28))+(C29)</f>
        <v>32481.25</v>
      </c>
      <c r="D30" s="13">
        <f>IF(ABS((B30))=0,"",((C30)-(B30))/(ABS((B30))))</f>
        <v>0.6572632840000141</v>
      </c>
    </row>
    <row r="31" spans="1:4" x14ac:dyDescent="0.3">
      <c r="A31" s="3" t="s">
        <v>35</v>
      </c>
      <c r="B31" s="4"/>
      <c r="C31" s="4"/>
      <c r="D31" s="14" t="str">
        <f>IF(ABS((B31))=0,"",((C31)-(B31))/(ABS((B31))))</f>
        <v/>
      </c>
    </row>
    <row r="32" spans="1:4" x14ac:dyDescent="0.3">
      <c r="A32" s="3" t="s">
        <v>36</v>
      </c>
      <c r="B32" s="5">
        <f>420.74</f>
        <v>420.74</v>
      </c>
      <c r="C32" s="5">
        <f>1739.26</f>
        <v>1739.26</v>
      </c>
      <c r="D32" s="14">
        <f>IF(ABS((B32))=0,"",((C32)-(B32))/(ABS((B32))))</f>
        <v>3.1338118553025622</v>
      </c>
    </row>
    <row r="33" spans="1:4" x14ac:dyDescent="0.3">
      <c r="A33" s="3" t="s">
        <v>37</v>
      </c>
      <c r="B33" s="4"/>
      <c r="C33" s="5">
        <f>150</f>
        <v>150</v>
      </c>
      <c r="D33" s="14" t="str">
        <f>IF(ABS((B33))=0,"",((C33)-(B33))/(ABS((B33))))</f>
        <v/>
      </c>
    </row>
    <row r="34" spans="1:4" x14ac:dyDescent="0.3">
      <c r="A34" s="3" t="s">
        <v>38</v>
      </c>
      <c r="B34" s="5">
        <f>3659.38</f>
        <v>3659.38</v>
      </c>
      <c r="C34" s="5">
        <f>5474.44</f>
        <v>5474.44</v>
      </c>
      <c r="D34" s="14">
        <f>IF(ABS((B34))=0,"",((C34)-(B34))/(ABS((B34))))</f>
        <v>0.49600205499292216</v>
      </c>
    </row>
    <row r="35" spans="1:4" x14ac:dyDescent="0.3">
      <c r="A35" s="3" t="s">
        <v>39</v>
      </c>
      <c r="B35" s="5">
        <f>2062.87</f>
        <v>2062.87</v>
      </c>
      <c r="C35" s="5">
        <f>3402.6</f>
        <v>3402.6</v>
      </c>
      <c r="D35" s="14">
        <f>IF(ABS((B35))=0,"",((C35)-(B35))/(ABS((B35))))</f>
        <v>0.64944955329225795</v>
      </c>
    </row>
    <row r="36" spans="1:4" x14ac:dyDescent="0.3">
      <c r="A36" s="3" t="s">
        <v>121</v>
      </c>
      <c r="B36" s="5">
        <f>1969.58</f>
        <v>1969.58</v>
      </c>
      <c r="C36" s="4"/>
      <c r="D36" s="14">
        <f>IF(ABS((B36))=0,"",((C36)-(B36))/(ABS((B36))))</f>
        <v>-1</v>
      </c>
    </row>
    <row r="37" spans="1:4" x14ac:dyDescent="0.3">
      <c r="A37" s="3" t="s">
        <v>40</v>
      </c>
      <c r="B37" s="4"/>
      <c r="C37" s="5">
        <f>864.3</f>
        <v>864.3</v>
      </c>
      <c r="D37" s="14" t="str">
        <f>IF(ABS((B37))=0,"",((C37)-(B37))/(ABS((B37))))</f>
        <v/>
      </c>
    </row>
    <row r="38" spans="1:4" x14ac:dyDescent="0.3">
      <c r="A38" s="3" t="s">
        <v>41</v>
      </c>
      <c r="B38" s="7">
        <f>((((((B31)+(B32))+(B33))+(B34))+(B35))+(B36))+(B37)</f>
        <v>8112.57</v>
      </c>
      <c r="C38" s="7">
        <f>((((((C31)+(C32))+(C33))+(C34))+(C35))+(C36))+(C37)</f>
        <v>11630.599999999999</v>
      </c>
      <c r="D38" s="13">
        <f>IF(ABS((B38))=0,"",((C38)-(B38))/(ABS((B38))))</f>
        <v>0.4336517281206817</v>
      </c>
    </row>
    <row r="39" spans="1:4" x14ac:dyDescent="0.3">
      <c r="A39" s="3" t="s">
        <v>42</v>
      </c>
      <c r="B39" s="4"/>
      <c r="C39" s="4"/>
      <c r="D39" s="14" t="str">
        <f>IF(ABS((B39))=0,"",((C39)-(B39))/(ABS((B39))))</f>
        <v/>
      </c>
    </row>
    <row r="40" spans="1:4" x14ac:dyDescent="0.3">
      <c r="A40" s="3" t="s">
        <v>43</v>
      </c>
      <c r="B40" s="5">
        <f>9286.1</f>
        <v>9286.1</v>
      </c>
      <c r="C40" s="5">
        <f>10990</f>
        <v>10990</v>
      </c>
      <c r="D40" s="14">
        <f>IF(ABS((B40))=0,"",((C40)-(B40))/(ABS((B40))))</f>
        <v>0.18348930121364185</v>
      </c>
    </row>
    <row r="41" spans="1:4" x14ac:dyDescent="0.3">
      <c r="A41" s="3" t="s">
        <v>44</v>
      </c>
      <c r="B41" s="5">
        <f>14.97</f>
        <v>14.97</v>
      </c>
      <c r="C41" s="5">
        <f>16.61</f>
        <v>16.61</v>
      </c>
      <c r="D41" s="14">
        <f>IF(ABS((B41))=0,"",((C41)-(B41))/(ABS((B41))))</f>
        <v>0.10955243820975276</v>
      </c>
    </row>
    <row r="42" spans="1:4" x14ac:dyDescent="0.3">
      <c r="A42" s="3" t="s">
        <v>45</v>
      </c>
      <c r="B42" s="5">
        <f>1590.41</f>
        <v>1590.41</v>
      </c>
      <c r="C42" s="5">
        <f>1792.16</f>
        <v>1792.16</v>
      </c>
      <c r="D42" s="14">
        <f>IF(ABS((B42))=0,"",((C42)-(B42))/(ABS((B42))))</f>
        <v>0.12685408165190107</v>
      </c>
    </row>
    <row r="43" spans="1:4" x14ac:dyDescent="0.3">
      <c r="A43" s="3" t="s">
        <v>120</v>
      </c>
      <c r="B43" s="5">
        <f>7694.8</f>
        <v>7694.8</v>
      </c>
      <c r="C43" s="4"/>
      <c r="D43" s="14">
        <f>IF(ABS((B43))=0,"",((C43)-(B43))/(ABS((B43))))</f>
        <v>-1</v>
      </c>
    </row>
    <row r="44" spans="1:4" x14ac:dyDescent="0.3">
      <c r="A44" s="3" t="s">
        <v>46</v>
      </c>
      <c r="B44" s="5">
        <f>21.23</f>
        <v>21.23</v>
      </c>
      <c r="C44" s="5">
        <f>173.36</f>
        <v>173.36</v>
      </c>
      <c r="D44" s="14">
        <f>IF(ABS((B44))=0,"",((C44)-(B44))/(ABS((B44))))</f>
        <v>7.1658031088082907</v>
      </c>
    </row>
    <row r="45" spans="1:4" x14ac:dyDescent="0.3">
      <c r="A45" s="3" t="s">
        <v>47</v>
      </c>
      <c r="B45" s="7">
        <f>(((B41)+(B42))+(B43))+(B44)</f>
        <v>9321.41</v>
      </c>
      <c r="C45" s="7">
        <f>(((C41)+(C42))+(C43))+(C44)</f>
        <v>1982.13</v>
      </c>
      <c r="D45" s="13">
        <f>IF(ABS((B45))=0,"",((C45)-(B45))/(ABS((B45))))</f>
        <v>-0.78735727749342643</v>
      </c>
    </row>
    <row r="46" spans="1:4" x14ac:dyDescent="0.3">
      <c r="A46" s="3" t="s">
        <v>48</v>
      </c>
      <c r="B46" s="5">
        <f>300</f>
        <v>300</v>
      </c>
      <c r="C46" s="5">
        <f>300</f>
        <v>300</v>
      </c>
      <c r="D46" s="14">
        <f>IF(ABS((B46))=0,"",((C46)-(B46))/(ABS((B46))))</f>
        <v>0</v>
      </c>
    </row>
    <row r="47" spans="1:4" x14ac:dyDescent="0.3">
      <c r="A47" s="3" t="s">
        <v>49</v>
      </c>
      <c r="B47" s="5">
        <f>13896.12</f>
        <v>13896.12</v>
      </c>
      <c r="C47" s="5">
        <f>11596.92</f>
        <v>11596.92</v>
      </c>
      <c r="D47" s="14">
        <f>IF(ABS((B47))=0,"",((C47)-(B47))/(ABS((B47))))</f>
        <v>-0.16545625685443135</v>
      </c>
    </row>
    <row r="48" spans="1:4" x14ac:dyDescent="0.3">
      <c r="A48" s="3" t="s">
        <v>50</v>
      </c>
      <c r="B48" s="5">
        <f>100</f>
        <v>100</v>
      </c>
      <c r="C48" s="5">
        <f>99.75</f>
        <v>99.75</v>
      </c>
      <c r="D48" s="14">
        <f>IF(ABS((B48))=0,"",((C48)-(B48))/(ABS((B48))))</f>
        <v>-2.5000000000000001E-3</v>
      </c>
    </row>
    <row r="49" spans="1:4" x14ac:dyDescent="0.3">
      <c r="A49" s="3" t="s">
        <v>51</v>
      </c>
      <c r="B49" s="5">
        <f>950.45</f>
        <v>950.45</v>
      </c>
      <c r="C49" s="5">
        <f>0</f>
        <v>0</v>
      </c>
      <c r="D49" s="14">
        <f>IF(ABS((B49))=0,"",((C49)-(B49))/(ABS((B49))))</f>
        <v>-1</v>
      </c>
    </row>
    <row r="50" spans="1:4" x14ac:dyDescent="0.3">
      <c r="A50" s="3" t="s">
        <v>52</v>
      </c>
      <c r="B50" s="5">
        <f>3469.05</f>
        <v>3469.05</v>
      </c>
      <c r="C50" s="5">
        <f>20</f>
        <v>20</v>
      </c>
      <c r="D50" s="14">
        <f>IF(ABS((B50))=0,"",((C50)-(B50))/(ABS((B50))))</f>
        <v>-0.99423473285193353</v>
      </c>
    </row>
    <row r="51" spans="1:4" x14ac:dyDescent="0.3">
      <c r="A51" s="3" t="s">
        <v>53</v>
      </c>
      <c r="B51" s="5">
        <f>10590.96</f>
        <v>10590.96</v>
      </c>
      <c r="C51" s="5">
        <f>7619.22</f>
        <v>7619.22</v>
      </c>
      <c r="D51" s="14">
        <f>IF(ABS((B51))=0,"",((C51)-(B51))/(ABS((B51))))</f>
        <v>-0.28059212762582419</v>
      </c>
    </row>
    <row r="52" spans="1:4" x14ac:dyDescent="0.3">
      <c r="A52" s="3" t="s">
        <v>54</v>
      </c>
      <c r="B52" s="4"/>
      <c r="C52" s="4"/>
      <c r="D52" s="14" t="str">
        <f>IF(ABS((B52))=0,"",((C52)-(B52))/(ABS((B52))))</f>
        <v/>
      </c>
    </row>
    <row r="53" spans="1:4" x14ac:dyDescent="0.3">
      <c r="A53" s="3" t="s">
        <v>55</v>
      </c>
      <c r="B53" s="5">
        <f>482.08</f>
        <v>482.08</v>
      </c>
      <c r="C53" s="5">
        <f>1105.39</f>
        <v>1105.3900000000001</v>
      </c>
      <c r="D53" s="14">
        <f>IF(ABS((B53))=0,"",((C53)-(B53))/(ABS((B53))))</f>
        <v>1.2929596747427816</v>
      </c>
    </row>
    <row r="54" spans="1:4" x14ac:dyDescent="0.3">
      <c r="A54" s="3" t="s">
        <v>56</v>
      </c>
      <c r="B54" s="7">
        <f>(B52)+(B53)</f>
        <v>482.08</v>
      </c>
      <c r="C54" s="7">
        <f>(C52)+(C53)</f>
        <v>1105.3900000000001</v>
      </c>
      <c r="D54" s="13">
        <f>IF(ABS((B54))=0,"",((C54)-(B54))/(ABS((B54))))</f>
        <v>1.2929596747427816</v>
      </c>
    </row>
    <row r="55" spans="1:4" x14ac:dyDescent="0.3">
      <c r="A55" s="3" t="s">
        <v>57</v>
      </c>
      <c r="B55" s="5">
        <f>8792.37</f>
        <v>8792.3700000000008</v>
      </c>
      <c r="C55" s="5">
        <f>13878.1</f>
        <v>13878.1</v>
      </c>
      <c r="D55" s="14">
        <f>IF(ABS((B55))=0,"",((C55)-(B55))/(ABS((B55))))</f>
        <v>0.57842538473699345</v>
      </c>
    </row>
    <row r="56" spans="1:4" x14ac:dyDescent="0.3">
      <c r="A56" s="3" t="s">
        <v>58</v>
      </c>
      <c r="B56" s="5">
        <f>2292.66</f>
        <v>2292.66</v>
      </c>
      <c r="C56" s="5">
        <f>2173.08</f>
        <v>2173.08</v>
      </c>
      <c r="D56" s="14">
        <f>IF(ABS((B56))=0,"",((C56)-(B56))/(ABS((B56))))</f>
        <v>-5.2157755620109367E-2</v>
      </c>
    </row>
    <row r="57" spans="1:4" x14ac:dyDescent="0.3">
      <c r="A57" s="3" t="s">
        <v>119</v>
      </c>
      <c r="B57" s="5">
        <f>1827.31</f>
        <v>1827.31</v>
      </c>
      <c r="C57" s="4"/>
      <c r="D57" s="14">
        <f>IF(ABS((B57))=0,"",((C57)-(B57))/(ABS((B57))))</f>
        <v>-1</v>
      </c>
    </row>
    <row r="58" spans="1:4" x14ac:dyDescent="0.3">
      <c r="A58" s="3" t="s">
        <v>59</v>
      </c>
      <c r="B58" s="5">
        <f>93.29</f>
        <v>93.29</v>
      </c>
      <c r="C58" s="5">
        <f>123.12</f>
        <v>123.12</v>
      </c>
      <c r="D58" s="14">
        <f>IF(ABS((B58))=0,"",((C58)-(B58))/(ABS((B58))))</f>
        <v>0.31975560081466392</v>
      </c>
    </row>
    <row r="59" spans="1:4" x14ac:dyDescent="0.3">
      <c r="A59" s="3" t="s">
        <v>60</v>
      </c>
      <c r="B59" s="5">
        <f>571.62</f>
        <v>571.62</v>
      </c>
      <c r="C59" s="5">
        <f>900.63</f>
        <v>900.63</v>
      </c>
      <c r="D59" s="14">
        <f>IF(ABS((B59))=0,"",((C59)-(B59))/(ABS((B59))))</f>
        <v>0.57557468248136867</v>
      </c>
    </row>
    <row r="60" spans="1:4" x14ac:dyDescent="0.3">
      <c r="A60" s="3" t="s">
        <v>61</v>
      </c>
      <c r="B60" s="7">
        <f>(((B56)+(B57))+(B58))+(B59)</f>
        <v>4784.8799999999992</v>
      </c>
      <c r="C60" s="7">
        <f>(((C56)+(C57))+(C58))+(C59)</f>
        <v>3196.83</v>
      </c>
      <c r="D60" s="13">
        <f>IF(ABS((B60))=0,"",((C60)-(B60))/(ABS((B60))))</f>
        <v>-0.33188920098309665</v>
      </c>
    </row>
    <row r="61" spans="1:4" x14ac:dyDescent="0.3">
      <c r="A61" s="3" t="s">
        <v>62</v>
      </c>
      <c r="B61" s="5">
        <f>143632.2</f>
        <v>143632.20000000001</v>
      </c>
      <c r="C61" s="5">
        <f>151305.5</f>
        <v>151305.5</v>
      </c>
      <c r="D61" s="14">
        <f>IF(ABS((B61))=0,"",((C61)-(B61))/(ABS((B61))))</f>
        <v>5.3423257458981951E-2</v>
      </c>
    </row>
    <row r="62" spans="1:4" x14ac:dyDescent="0.3">
      <c r="A62" s="3" t="s">
        <v>63</v>
      </c>
      <c r="B62" s="4"/>
      <c r="C62" s="5">
        <f>1779.22</f>
        <v>1779.22</v>
      </c>
      <c r="D62" s="14" t="str">
        <f>IF(ABS((B62))=0,"",((C62)-(B62))/(ABS((B62))))</f>
        <v/>
      </c>
    </row>
    <row r="63" spans="1:4" x14ac:dyDescent="0.3">
      <c r="A63" s="3" t="s">
        <v>64</v>
      </c>
      <c r="B63" s="7">
        <f>(B61)+(B62)</f>
        <v>143632.20000000001</v>
      </c>
      <c r="C63" s="7">
        <f>(C61)+(C62)</f>
        <v>153084.72</v>
      </c>
      <c r="D63" s="13">
        <f>IF(ABS((B63))=0,"",((C63)-(B63))/(ABS((B63))))</f>
        <v>6.5810591218403588E-2</v>
      </c>
    </row>
    <row r="64" spans="1:4" x14ac:dyDescent="0.3">
      <c r="A64" s="3" t="s">
        <v>65</v>
      </c>
      <c r="B64" s="5">
        <f>8573.04</f>
        <v>8573.0400000000009</v>
      </c>
      <c r="C64" s="5">
        <f>2257.75</f>
        <v>2257.75</v>
      </c>
      <c r="D64" s="14">
        <f>IF(ABS((B64))=0,"",((C64)-(B64))/(ABS((B64))))</f>
        <v>-0.73664534400865977</v>
      </c>
    </row>
    <row r="65" spans="1:4" x14ac:dyDescent="0.3">
      <c r="A65" s="3" t="s">
        <v>66</v>
      </c>
      <c r="B65" s="5">
        <f>329.51</f>
        <v>329.51</v>
      </c>
      <c r="C65" s="5">
        <f>419.27</f>
        <v>419.27</v>
      </c>
      <c r="D65" s="14">
        <f>IF(ABS((B65))=0,"",((C65)-(B65))/(ABS((B65))))</f>
        <v>0.27240447937847106</v>
      </c>
    </row>
    <row r="66" spans="1:4" x14ac:dyDescent="0.3">
      <c r="A66" s="3" t="s">
        <v>67</v>
      </c>
      <c r="B66" s="4"/>
      <c r="C66" s="5">
        <f>21.95</f>
        <v>21.95</v>
      </c>
      <c r="D66" s="14" t="str">
        <f>IF(ABS((B66))=0,"",((C66)-(B66))/(ABS((B66))))</f>
        <v/>
      </c>
    </row>
    <row r="67" spans="1:4" x14ac:dyDescent="0.3">
      <c r="A67" s="3" t="s">
        <v>68</v>
      </c>
      <c r="B67" s="5">
        <f>2096.21</f>
        <v>2096.21</v>
      </c>
      <c r="C67" s="5">
        <f>2840.82</f>
        <v>2840.82</v>
      </c>
      <c r="D67" s="14">
        <f>IF(ABS((B67))=0,"",((C67)-(B67))/(ABS((B67))))</f>
        <v>0.35521727307855611</v>
      </c>
    </row>
    <row r="68" spans="1:4" x14ac:dyDescent="0.3">
      <c r="A68" s="3" t="s">
        <v>118</v>
      </c>
      <c r="B68" s="5">
        <f>88.56</f>
        <v>88.56</v>
      </c>
      <c r="C68" s="4"/>
      <c r="D68" s="14">
        <f>IF(ABS((B68))=0,"",((C68)-(B68))/(ABS((B68))))</f>
        <v>-1</v>
      </c>
    </row>
    <row r="69" spans="1:4" x14ac:dyDescent="0.3">
      <c r="A69" s="3" t="s">
        <v>69</v>
      </c>
      <c r="B69" s="7">
        <f>((B66)+(B67))+(B68)</f>
        <v>2184.77</v>
      </c>
      <c r="C69" s="7">
        <f>((C66)+(C67))+(C68)</f>
        <v>2862.77</v>
      </c>
      <c r="D69" s="13">
        <f>IF(ABS((B69))=0,"",((C69)-(B69))/(ABS((B69))))</f>
        <v>0.31033014916902008</v>
      </c>
    </row>
    <row r="70" spans="1:4" x14ac:dyDescent="0.3">
      <c r="A70" s="3" t="s">
        <v>117</v>
      </c>
      <c r="B70" s="5">
        <f>390</f>
        <v>390</v>
      </c>
      <c r="C70" s="4"/>
      <c r="D70" s="14">
        <f>IF(ABS((B70))=0,"",((C70)-(B70))/(ABS((B70))))</f>
        <v>-1</v>
      </c>
    </row>
    <row r="71" spans="1:4" x14ac:dyDescent="0.3">
      <c r="A71" s="3" t="s">
        <v>70</v>
      </c>
      <c r="B71" s="7">
        <f>((((((((((((((((B39)+(B40))+(B45))+(B46))+(B47))+(B48))+(B49))+(B50))+(B51))+(B54))+(B55))+(B60))+(B63))+(B64))+(B65))+(B69))+(B70)</f>
        <v>217082.94000000003</v>
      </c>
      <c r="C71" s="7">
        <f>((((((((((((((((C39)+(C40))+(C45))+(C46))+(C47))+(C48))+(C49))+(C50))+(C51))+(C54))+(C55))+(C60))+(C63))+(C64))+(C65))+(C69))+(C70)</f>
        <v>209412.84999999998</v>
      </c>
      <c r="D71" s="13">
        <f>IF(ABS((B71))=0,"",((C71)-(B71))/(ABS((B71))))</f>
        <v>-3.5332532349156752E-2</v>
      </c>
    </row>
    <row r="72" spans="1:4" x14ac:dyDescent="0.3">
      <c r="A72" s="3" t="s">
        <v>71</v>
      </c>
      <c r="B72" s="4"/>
      <c r="C72" s="4"/>
      <c r="D72" s="14" t="str">
        <f>IF(ABS((B72))=0,"",((C72)-(B72))/(ABS((B72))))</f>
        <v/>
      </c>
    </row>
    <row r="73" spans="1:4" x14ac:dyDescent="0.3">
      <c r="A73" s="3" t="s">
        <v>72</v>
      </c>
      <c r="B73" s="5">
        <f>94482.23</f>
        <v>94482.23</v>
      </c>
      <c r="C73" s="5">
        <f>73824.03</f>
        <v>73824.03</v>
      </c>
      <c r="D73" s="14">
        <f>IF(ABS((B73))=0,"",((C73)-(B73))/(ABS((B73))))</f>
        <v>-0.21864640578445277</v>
      </c>
    </row>
    <row r="74" spans="1:4" x14ac:dyDescent="0.3">
      <c r="A74" s="3" t="s">
        <v>73</v>
      </c>
      <c r="B74" s="5">
        <f>6002.5</f>
        <v>6002.5</v>
      </c>
      <c r="C74" s="5">
        <f>4812.5</f>
        <v>4812.5</v>
      </c>
      <c r="D74" s="14">
        <f>IF(ABS((B74))=0,"",((C74)-(B74))/(ABS((B74))))</f>
        <v>-0.19825072886297376</v>
      </c>
    </row>
    <row r="75" spans="1:4" x14ac:dyDescent="0.3">
      <c r="A75" s="3" t="s">
        <v>74</v>
      </c>
      <c r="B75" s="7">
        <f>((B72)+(B73))+(B74)</f>
        <v>100484.73</v>
      </c>
      <c r="C75" s="7">
        <f>((C72)+(C73))+(C74)</f>
        <v>78636.53</v>
      </c>
      <c r="D75" s="13">
        <f>IF(ABS((B75))=0,"",((C75)-(B75))/(ABS((B75))))</f>
        <v>-0.21742806096010805</v>
      </c>
    </row>
    <row r="76" spans="1:4" x14ac:dyDescent="0.3">
      <c r="A76" s="3" t="s">
        <v>75</v>
      </c>
      <c r="B76" s="4"/>
      <c r="C76" s="4"/>
      <c r="D76" s="14" t="str">
        <f>IF(ABS((B76))=0,"",((C76)-(B76))/(ABS((B76))))</f>
        <v/>
      </c>
    </row>
    <row r="77" spans="1:4" x14ac:dyDescent="0.3">
      <c r="A77" s="3" t="s">
        <v>76</v>
      </c>
      <c r="B77" s="5">
        <f>526</f>
        <v>526</v>
      </c>
      <c r="C77" s="5">
        <f>48056</f>
        <v>48056</v>
      </c>
      <c r="D77" s="14">
        <f>IF(ABS((B77))=0,"",((C77)-(B77))/(ABS((B77))))</f>
        <v>90.361216730038024</v>
      </c>
    </row>
    <row r="78" spans="1:4" x14ac:dyDescent="0.3">
      <c r="A78" s="3" t="s">
        <v>77</v>
      </c>
      <c r="B78" s="5">
        <f>88396.95</f>
        <v>88396.95</v>
      </c>
      <c r="C78" s="5">
        <f>65448.5</f>
        <v>65448.5</v>
      </c>
      <c r="D78" s="14">
        <f>IF(ABS((B78))=0,"",((C78)-(B78))/(ABS((B78))))</f>
        <v>-0.25960680770094441</v>
      </c>
    </row>
    <row r="79" spans="1:4" x14ac:dyDescent="0.3">
      <c r="A79" s="3" t="s">
        <v>78</v>
      </c>
      <c r="B79" s="4"/>
      <c r="C79" s="5">
        <f>2500</f>
        <v>2500</v>
      </c>
      <c r="D79" s="14" t="str">
        <f>IF(ABS((B79))=0,"",((C79)-(B79))/(ABS((B79))))</f>
        <v/>
      </c>
    </row>
    <row r="80" spans="1:4" x14ac:dyDescent="0.3">
      <c r="A80" s="3" t="s">
        <v>79</v>
      </c>
      <c r="B80" s="5">
        <f>654</f>
        <v>654</v>
      </c>
      <c r="C80" s="5">
        <f>8972</f>
        <v>8972</v>
      </c>
      <c r="D80" s="14">
        <f>IF(ABS((B80))=0,"",((C80)-(B80))/(ABS((B80))))</f>
        <v>12.718654434250764</v>
      </c>
    </row>
    <row r="81" spans="1:4" x14ac:dyDescent="0.3">
      <c r="A81" s="3" t="s">
        <v>80</v>
      </c>
      <c r="B81" s="4"/>
      <c r="C81" s="5">
        <f>38327.2</f>
        <v>38327.199999999997</v>
      </c>
      <c r="D81" s="14" t="str">
        <f>IF(ABS((B81))=0,"",((C81)-(B81))/(ABS((B81))))</f>
        <v/>
      </c>
    </row>
    <row r="82" spans="1:4" x14ac:dyDescent="0.3">
      <c r="A82" s="3" t="s">
        <v>81</v>
      </c>
      <c r="B82" s="4"/>
      <c r="C82" s="5">
        <f>501.89</f>
        <v>501.89</v>
      </c>
      <c r="D82" s="14" t="str">
        <f>IF(ABS((B82))=0,"",((C82)-(B82))/(ABS((B82))))</f>
        <v/>
      </c>
    </row>
    <row r="83" spans="1:4" x14ac:dyDescent="0.3">
      <c r="A83" s="3" t="s">
        <v>82</v>
      </c>
      <c r="B83" s="4"/>
      <c r="C83" s="5">
        <f>5349.05</f>
        <v>5349.05</v>
      </c>
      <c r="D83" s="14" t="str">
        <f>IF(ABS((B83))=0,"",((C83)-(B83))/(ABS((B83))))</f>
        <v/>
      </c>
    </row>
    <row r="84" spans="1:4" x14ac:dyDescent="0.3">
      <c r="A84" s="3" t="s">
        <v>83</v>
      </c>
      <c r="B84" s="4"/>
      <c r="C84" s="5">
        <f>4583.34</f>
        <v>4583.34</v>
      </c>
      <c r="D84" s="14" t="str">
        <f>IF(ABS((B84))=0,"",((C84)-(B84))/(ABS((B84))))</f>
        <v/>
      </c>
    </row>
    <row r="85" spans="1:4" x14ac:dyDescent="0.3">
      <c r="A85" s="3" t="s">
        <v>84</v>
      </c>
      <c r="B85" s="4"/>
      <c r="C85" s="5">
        <f>627</f>
        <v>627</v>
      </c>
      <c r="D85" s="14" t="str">
        <f>IF(ABS((B85))=0,"",((C85)-(B85))/(ABS((B85))))</f>
        <v/>
      </c>
    </row>
    <row r="86" spans="1:4" x14ac:dyDescent="0.3">
      <c r="A86" s="3" t="s">
        <v>85</v>
      </c>
      <c r="B86" s="7">
        <f>(((((((((B76)+(B77))+(B78))+(B79))+(B80))+(B81))+(B82))+(B83))+(B84))+(B85)</f>
        <v>89576.95</v>
      </c>
      <c r="C86" s="7">
        <f>(((((((((C76)+(C77))+(C78))+(C79))+(C80))+(C81))+(C82))+(C83))+(C84))+(C85)</f>
        <v>174364.98</v>
      </c>
      <c r="D86" s="13">
        <f>IF(ABS((B86))=0,"",((C86)-(B86))/(ABS((B86))))</f>
        <v>0.946538478927894</v>
      </c>
    </row>
    <row r="87" spans="1:4" x14ac:dyDescent="0.3">
      <c r="A87" s="3" t="s">
        <v>86</v>
      </c>
      <c r="B87" s="4"/>
      <c r="C87" s="4"/>
      <c r="D87" s="14" t="str">
        <f>IF(ABS((B87))=0,"",((C87)-(B87))/(ABS((B87))))</f>
        <v/>
      </c>
    </row>
    <row r="88" spans="1:4" x14ac:dyDescent="0.3">
      <c r="A88" s="3" t="s">
        <v>87</v>
      </c>
      <c r="B88" s="5">
        <f>2368.18</f>
        <v>2368.1799999999998</v>
      </c>
      <c r="C88" s="5">
        <f>3452.74</f>
        <v>3452.74</v>
      </c>
      <c r="D88" s="14">
        <f>IF(ABS((B88))=0,"",((C88)-(B88))/(ABS((B88))))</f>
        <v>0.45797194470014951</v>
      </c>
    </row>
    <row r="89" spans="1:4" x14ac:dyDescent="0.3">
      <c r="A89" s="3" t="s">
        <v>88</v>
      </c>
      <c r="B89" s="5">
        <f>11166.1</f>
        <v>11166.1</v>
      </c>
      <c r="C89" s="5">
        <f>8314.62</f>
        <v>8314.6200000000008</v>
      </c>
      <c r="D89" s="14">
        <f>IF(ABS((B89))=0,"",((C89)-(B89))/(ABS((B89))))</f>
        <v>-0.25536937695345729</v>
      </c>
    </row>
    <row r="90" spans="1:4" x14ac:dyDescent="0.3">
      <c r="A90" s="3" t="s">
        <v>89</v>
      </c>
      <c r="B90" s="5">
        <f>19409</f>
        <v>19409</v>
      </c>
      <c r="C90" s="5">
        <f>12666.39</f>
        <v>12666.39</v>
      </c>
      <c r="D90" s="14">
        <f>IF(ABS((B90))=0,"",((C90)-(B90))/(ABS((B90))))</f>
        <v>-0.34739605337729923</v>
      </c>
    </row>
    <row r="91" spans="1:4" x14ac:dyDescent="0.3">
      <c r="A91" s="3" t="s">
        <v>90</v>
      </c>
      <c r="B91" s="7">
        <f>(((B87)+(B88))+(B89))+(B90)</f>
        <v>32943.279999999999</v>
      </c>
      <c r="C91" s="7">
        <f>(((C87)+(C88))+(C89))+(C90)</f>
        <v>24433.75</v>
      </c>
      <c r="D91" s="13">
        <f>IF(ABS((B91))=0,"",((C91)-(B91))/(ABS((B91))))</f>
        <v>-0.25830852301288759</v>
      </c>
    </row>
    <row r="92" spans="1:4" x14ac:dyDescent="0.3">
      <c r="A92" s="3" t="s">
        <v>91</v>
      </c>
      <c r="B92" s="5">
        <f>5572.34</f>
        <v>5572.34</v>
      </c>
      <c r="C92" s="5">
        <f>174.15</f>
        <v>174.15</v>
      </c>
      <c r="D92" s="14">
        <f>IF(ABS((B92))=0,"",((C92)-(B92))/(ABS((B92))))</f>
        <v>-0.96874742029380845</v>
      </c>
    </row>
    <row r="93" spans="1:4" x14ac:dyDescent="0.3">
      <c r="A93" s="3" t="s">
        <v>116</v>
      </c>
      <c r="B93" s="5">
        <f>155.96</f>
        <v>155.96</v>
      </c>
      <c r="C93" s="4"/>
      <c r="D93" s="14">
        <f>IF(ABS((B93))=0,"",((C93)-(B93))/(ABS((B93))))</f>
        <v>-1</v>
      </c>
    </row>
    <row r="94" spans="1:4" x14ac:dyDescent="0.3">
      <c r="A94" s="3" t="s">
        <v>92</v>
      </c>
      <c r="B94" s="4"/>
      <c r="C94" s="5">
        <f>36.82</f>
        <v>36.82</v>
      </c>
      <c r="D94" s="14" t="str">
        <f>IF(ABS((B94))=0,"",((C94)-(B94))/(ABS((B94))))</f>
        <v/>
      </c>
    </row>
    <row r="95" spans="1:4" x14ac:dyDescent="0.3">
      <c r="A95" s="3" t="s">
        <v>93</v>
      </c>
      <c r="B95" s="7">
        <f>((B92)+(B93))+(B94)</f>
        <v>5728.3</v>
      </c>
      <c r="C95" s="7">
        <f>((C92)+(C93))+(C94)</f>
        <v>210.97</v>
      </c>
      <c r="D95" s="13">
        <f>IF(ABS((B95))=0,"",((C95)-(B95))/(ABS((B95))))</f>
        <v>-0.9631705741668557</v>
      </c>
    </row>
    <row r="96" spans="1:4" x14ac:dyDescent="0.3">
      <c r="A96" s="3" t="s">
        <v>94</v>
      </c>
      <c r="B96" s="7">
        <f>((((((B30)+(B38))+(B71))+(B75))+(B86))+(B91))+(B95)</f>
        <v>473528.10000000003</v>
      </c>
      <c r="C96" s="7">
        <f>((((((C30)+(C38))+(C71))+(C75))+(C86))+(C91))+(C95)</f>
        <v>531170.92999999993</v>
      </c>
      <c r="D96" s="13">
        <f>IF(ABS((B96))=0,"",((C96)-(B96))/(ABS((B96))))</f>
        <v>0.12173053721627057</v>
      </c>
    </row>
    <row r="97" spans="1:4" x14ac:dyDescent="0.3">
      <c r="A97" s="3" t="s">
        <v>95</v>
      </c>
      <c r="B97" s="7">
        <f>(B24)-(B96)</f>
        <v>142394.11000000004</v>
      </c>
      <c r="C97" s="7">
        <f>(C24)-(C96)</f>
        <v>90698.530000000028</v>
      </c>
      <c r="D97" s="13">
        <f>IF(ABS((B97))=0,"",((C97)-(B97))/(ABS((B97))))</f>
        <v>-0.36304577485683925</v>
      </c>
    </row>
    <row r="98" spans="1:4" x14ac:dyDescent="0.3">
      <c r="A98" s="3" t="s">
        <v>96</v>
      </c>
      <c r="B98" s="4"/>
      <c r="C98" s="4"/>
      <c r="D98" s="4"/>
    </row>
    <row r="99" spans="1:4" x14ac:dyDescent="0.3">
      <c r="A99" s="3" t="s">
        <v>97</v>
      </c>
      <c r="B99" s="4"/>
      <c r="C99" s="5">
        <f>98.14</f>
        <v>98.14</v>
      </c>
      <c r="D99" s="14" t="str">
        <f>IF(ABS((B99))=0,"",((C99)-(B99))/(ABS((B99))))</f>
        <v/>
      </c>
    </row>
    <row r="100" spans="1:4" x14ac:dyDescent="0.3">
      <c r="A100" s="3" t="s">
        <v>98</v>
      </c>
      <c r="B100" s="5">
        <f>2021.81</f>
        <v>2021.81</v>
      </c>
      <c r="C100" s="5">
        <f>2816.71</f>
        <v>2816.71</v>
      </c>
      <c r="D100" s="14">
        <f>IF(ABS((B100))=0,"",((C100)-(B100))/(ABS((B100))))</f>
        <v>0.39316256225857033</v>
      </c>
    </row>
    <row r="101" spans="1:4" x14ac:dyDescent="0.3">
      <c r="A101" s="3" t="s">
        <v>99</v>
      </c>
      <c r="B101" s="7">
        <f>(B99)+(B100)</f>
        <v>2021.81</v>
      </c>
      <c r="C101" s="7">
        <f>(C99)+(C100)</f>
        <v>2914.85</v>
      </c>
      <c r="D101" s="13">
        <f>IF(ABS((B101))=0,"",((C101)-(B101))/(ABS((B101))))</f>
        <v>0.44170322631701298</v>
      </c>
    </row>
    <row r="102" spans="1:4" x14ac:dyDescent="0.3">
      <c r="A102" s="3" t="s">
        <v>100</v>
      </c>
      <c r="B102" s="4"/>
      <c r="C102" s="4"/>
      <c r="D102" s="4"/>
    </row>
    <row r="103" spans="1:4" x14ac:dyDescent="0.3">
      <c r="A103" s="3" t="s">
        <v>101</v>
      </c>
      <c r="B103" s="4"/>
      <c r="C103" s="4"/>
      <c r="D103" s="14" t="str">
        <f>IF(ABS((B103))=0,"",((C103)-(B103))/(ABS((B103))))</f>
        <v/>
      </c>
    </row>
    <row r="104" spans="1:4" x14ac:dyDescent="0.3">
      <c r="A104" s="3" t="s">
        <v>102</v>
      </c>
      <c r="B104" s="5">
        <f>16.29</f>
        <v>16.29</v>
      </c>
      <c r="C104" s="5">
        <f>41.97</f>
        <v>41.97</v>
      </c>
      <c r="D104" s="14">
        <f>IF(ABS((B104))=0,"",((C104)-(B104))/(ABS((B104))))</f>
        <v>1.576427255985267</v>
      </c>
    </row>
    <row r="105" spans="1:4" x14ac:dyDescent="0.3">
      <c r="A105" s="3" t="s">
        <v>103</v>
      </c>
      <c r="B105" s="7">
        <f>(B103)+(B104)</f>
        <v>16.29</v>
      </c>
      <c r="C105" s="7">
        <f>(C103)+(C104)</f>
        <v>41.97</v>
      </c>
      <c r="D105" s="13">
        <f>IF(ABS((B105))=0,"",((C105)-(B105))/(ABS((B105))))</f>
        <v>1.576427255985267</v>
      </c>
    </row>
    <row r="106" spans="1:4" x14ac:dyDescent="0.3">
      <c r="A106" s="3" t="s">
        <v>104</v>
      </c>
      <c r="B106" s="7">
        <f>B105</f>
        <v>16.29</v>
      </c>
      <c r="C106" s="7">
        <f>C105</f>
        <v>41.97</v>
      </c>
      <c r="D106" s="13">
        <f>IF(ABS((B106))=0,"",((C106)-(B106))/(ABS((B106))))</f>
        <v>1.576427255985267</v>
      </c>
    </row>
    <row r="107" spans="1:4" x14ac:dyDescent="0.3">
      <c r="A107" s="3" t="s">
        <v>105</v>
      </c>
      <c r="B107" s="7">
        <f>(B101)-(B106)</f>
        <v>2005.52</v>
      </c>
      <c r="C107" s="7">
        <f>(C101)-(C106)</f>
        <v>2872.88</v>
      </c>
      <c r="D107" s="13">
        <f>IF(ABS((B107))=0,"",((C107)-(B107))/(ABS((B107))))</f>
        <v>0.43248633770792622</v>
      </c>
    </row>
    <row r="108" spans="1:4" x14ac:dyDescent="0.3">
      <c r="A108" s="3" t="s">
        <v>106</v>
      </c>
      <c r="B108" s="7">
        <f>(B97)+(B107)</f>
        <v>144399.63000000003</v>
      </c>
      <c r="C108" s="7">
        <f>(C97)+(C107)</f>
        <v>93571.410000000033</v>
      </c>
      <c r="D108" s="13">
        <f>IF(ABS((B108))=0,"",((C108)-(B108))/(ABS((B108))))</f>
        <v>-0.35199688531057866</v>
      </c>
    </row>
    <row r="109" spans="1:4" x14ac:dyDescent="0.3">
      <c r="A109" s="3"/>
      <c r="B109" s="4"/>
      <c r="C109" s="4"/>
      <c r="D109" s="4"/>
    </row>
    <row r="112" spans="1:4" x14ac:dyDescent="0.3">
      <c r="A112" s="8" t="s">
        <v>115</v>
      </c>
      <c r="B112" s="9"/>
      <c r="C112" s="9"/>
      <c r="D112" s="9"/>
    </row>
  </sheetData>
  <mergeCells count="5">
    <mergeCell ref="B5:D5"/>
    <mergeCell ref="A112:D112"/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YTD P&amp;L 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Amanda Green</cp:lastModifiedBy>
  <dcterms:created xsi:type="dcterms:W3CDTF">2026-01-07T03:54:24Z</dcterms:created>
  <dcterms:modified xsi:type="dcterms:W3CDTF">2026-01-07T04:00:53Z</dcterms:modified>
</cp:coreProperties>
</file>