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gre\Desktop\Clients\CFEN\Financials\2026\"/>
    </mc:Choice>
  </mc:AlternateContent>
  <xr:revisionPtr revIDLastSave="0" documentId="13_ncr:1_{58BACCE8-161E-4600-B487-E5585A797E9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Balance Sheet" sheetId="1" r:id="rId1"/>
    <sheet name="P&amp;L" sheetId="3" r:id="rId2"/>
    <sheet name="YTD P&amp;L YO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3" l="1"/>
  <c r="G8" i="3"/>
  <c r="G9" i="3"/>
  <c r="G10" i="3"/>
  <c r="G11" i="3"/>
  <c r="G12" i="3"/>
  <c r="G13" i="3"/>
  <c r="G14" i="3"/>
  <c r="G15" i="3"/>
  <c r="G16" i="3"/>
  <c r="G17" i="3"/>
  <c r="B18" i="3"/>
  <c r="B19" i="3" s="1"/>
  <c r="C18" i="3"/>
  <c r="C19" i="3" s="1"/>
  <c r="D18" i="3"/>
  <c r="D19" i="3" s="1"/>
  <c r="E18" i="3"/>
  <c r="E19" i="3" s="1"/>
  <c r="F18" i="3"/>
  <c r="F19" i="3" s="1"/>
  <c r="G18" i="3"/>
  <c r="G21" i="3"/>
  <c r="G22" i="3"/>
  <c r="G23" i="3"/>
  <c r="G24" i="3"/>
  <c r="B25" i="3"/>
  <c r="C25" i="3"/>
  <c r="D25" i="3"/>
  <c r="E25" i="3"/>
  <c r="F25" i="3"/>
  <c r="G25" i="3"/>
  <c r="G27" i="3"/>
  <c r="G28" i="3"/>
  <c r="G29" i="3"/>
  <c r="G30" i="3"/>
  <c r="B31" i="3"/>
  <c r="G31" i="3" s="1"/>
  <c r="C31" i="3"/>
  <c r="D31" i="3"/>
  <c r="E31" i="3"/>
  <c r="F31" i="3"/>
  <c r="G33" i="3"/>
  <c r="G35" i="3"/>
  <c r="G36" i="3"/>
  <c r="B37" i="3"/>
  <c r="G37" i="3" s="1"/>
  <c r="C37" i="3"/>
  <c r="C58" i="3" s="1"/>
  <c r="D37" i="3"/>
  <c r="D58" i="3" s="1"/>
  <c r="E37" i="3"/>
  <c r="F37" i="3"/>
  <c r="G38" i="3"/>
  <c r="G39" i="3"/>
  <c r="G40" i="3"/>
  <c r="G41" i="3"/>
  <c r="G42" i="3"/>
  <c r="G43" i="3"/>
  <c r="B44" i="3"/>
  <c r="C44" i="3"/>
  <c r="D44" i="3"/>
  <c r="E44" i="3"/>
  <c r="F44" i="3"/>
  <c r="G44" i="3"/>
  <c r="G45" i="3"/>
  <c r="G46" i="3"/>
  <c r="G47" i="3"/>
  <c r="G48" i="3"/>
  <c r="B49" i="3"/>
  <c r="G49" i="3" s="1"/>
  <c r="C49" i="3"/>
  <c r="D49" i="3"/>
  <c r="E49" i="3"/>
  <c r="E58" i="3" s="1"/>
  <c r="F49" i="3"/>
  <c r="F58" i="3" s="1"/>
  <c r="F78" i="3" s="1"/>
  <c r="G50" i="3"/>
  <c r="G51" i="3"/>
  <c r="B52" i="3"/>
  <c r="G52" i="3" s="1"/>
  <c r="C52" i="3"/>
  <c r="D52" i="3"/>
  <c r="E52" i="3"/>
  <c r="F52" i="3"/>
  <c r="G53" i="3"/>
  <c r="G54" i="3"/>
  <c r="G56" i="3"/>
  <c r="B57" i="3"/>
  <c r="G57" i="3" s="1"/>
  <c r="C57" i="3"/>
  <c r="D57" i="3"/>
  <c r="E57" i="3"/>
  <c r="F57" i="3"/>
  <c r="G60" i="3"/>
  <c r="G61" i="3"/>
  <c r="G62" i="3"/>
  <c r="G63" i="3"/>
  <c r="G64" i="3"/>
  <c r="G65" i="3"/>
  <c r="G66" i="3"/>
  <c r="G67" i="3"/>
  <c r="G68" i="3"/>
  <c r="G69" i="3"/>
  <c r="G70" i="3"/>
  <c r="B71" i="3"/>
  <c r="G71" i="3" s="1"/>
  <c r="C71" i="3"/>
  <c r="D71" i="3"/>
  <c r="E71" i="3"/>
  <c r="F71" i="3"/>
  <c r="G73" i="3"/>
  <c r="G74" i="3"/>
  <c r="G75" i="3"/>
  <c r="B76" i="3"/>
  <c r="G76" i="3" s="1"/>
  <c r="C76" i="3"/>
  <c r="D76" i="3"/>
  <c r="E76" i="3"/>
  <c r="F76" i="3"/>
  <c r="G77" i="3"/>
  <c r="G81" i="3"/>
  <c r="B82" i="3"/>
  <c r="C82" i="3"/>
  <c r="D82" i="3"/>
  <c r="E82" i="3"/>
  <c r="F82" i="3"/>
  <c r="F89" i="3" s="1"/>
  <c r="G82" i="3"/>
  <c r="G84" i="3"/>
  <c r="G86" i="3"/>
  <c r="B87" i="3"/>
  <c r="C87" i="3"/>
  <c r="D87" i="3"/>
  <c r="D88" i="3" s="1"/>
  <c r="D89" i="3" s="1"/>
  <c r="E87" i="3"/>
  <c r="E88" i="3" s="1"/>
  <c r="E89" i="3" s="1"/>
  <c r="F87" i="3"/>
  <c r="G87" i="3"/>
  <c r="B88" i="3"/>
  <c r="G88" i="3" s="1"/>
  <c r="C88" i="3"/>
  <c r="C89" i="3" s="1"/>
  <c r="F88" i="3"/>
  <c r="D8" i="2"/>
  <c r="D9" i="2"/>
  <c r="D12" i="2"/>
  <c r="D13" i="2"/>
  <c r="D15" i="2"/>
  <c r="D16" i="2"/>
  <c r="D17" i="2"/>
  <c r="D18" i="2"/>
  <c r="B19" i="2"/>
  <c r="C19" i="2"/>
  <c r="D19" i="2"/>
  <c r="D21" i="2"/>
  <c r="B22" i="2"/>
  <c r="C22" i="2"/>
  <c r="C23" i="2" s="1"/>
  <c r="D22" i="2"/>
  <c r="B23" i="2"/>
  <c r="D23" i="2" s="1"/>
  <c r="D25" i="2"/>
  <c r="D27" i="2"/>
  <c r="D28" i="2"/>
  <c r="B29" i="2"/>
  <c r="C29" i="2"/>
  <c r="D29" i="2"/>
  <c r="D31" i="2"/>
  <c r="D33" i="2"/>
  <c r="D34" i="2"/>
  <c r="D35" i="2"/>
  <c r="B36" i="2"/>
  <c r="D36" i="2" s="1"/>
  <c r="C36" i="2"/>
  <c r="D38" i="2"/>
  <c r="D39" i="2"/>
  <c r="D40" i="2"/>
  <c r="D41" i="2"/>
  <c r="B42" i="2"/>
  <c r="C42" i="2"/>
  <c r="D43" i="2"/>
  <c r="D44" i="2"/>
  <c r="D45" i="2"/>
  <c r="D46" i="2"/>
  <c r="D48" i="2"/>
  <c r="B49" i="2"/>
  <c r="C49" i="2"/>
  <c r="D50" i="2"/>
  <c r="D51" i="2"/>
  <c r="D53" i="2"/>
  <c r="D54" i="2"/>
  <c r="B55" i="2"/>
  <c r="C55" i="2"/>
  <c r="C64" i="2" s="1"/>
  <c r="C88" i="2" s="1"/>
  <c r="D56" i="2"/>
  <c r="D57" i="2"/>
  <c r="B58" i="2"/>
  <c r="C58" i="2"/>
  <c r="D59" i="2"/>
  <c r="D60" i="2"/>
  <c r="D61" i="2"/>
  <c r="D62" i="2"/>
  <c r="B63" i="2"/>
  <c r="D63" i="2" s="1"/>
  <c r="C63" i="2"/>
  <c r="D66" i="2"/>
  <c r="B67" i="2"/>
  <c r="C67" i="2"/>
  <c r="D67" i="2"/>
  <c r="D69" i="2"/>
  <c r="D70" i="2"/>
  <c r="D73" i="2"/>
  <c r="D74" i="2"/>
  <c r="D77" i="2"/>
  <c r="B81" i="2"/>
  <c r="C81" i="2"/>
  <c r="D81" i="2"/>
  <c r="D84" i="2"/>
  <c r="D85" i="2"/>
  <c r="B86" i="2"/>
  <c r="D86" i="2" s="1"/>
  <c r="C86" i="2"/>
  <c r="D87" i="2"/>
  <c r="D91" i="2"/>
  <c r="B92" i="2"/>
  <c r="C92" i="2"/>
  <c r="D92" i="2"/>
  <c r="D94" i="2"/>
  <c r="D96" i="2"/>
  <c r="B97" i="2"/>
  <c r="C97" i="2"/>
  <c r="C98" i="2" s="1"/>
  <c r="D98" i="2" s="1"/>
  <c r="B98" i="2"/>
  <c r="F69" i="1"/>
  <c r="E69" i="1"/>
  <c r="D69" i="1"/>
  <c r="C69" i="1"/>
  <c r="B69" i="1"/>
  <c r="F55" i="1"/>
  <c r="E55" i="1"/>
  <c r="D55" i="1"/>
  <c r="C55" i="1"/>
  <c r="B55" i="1"/>
  <c r="F50" i="1"/>
  <c r="E50" i="1"/>
  <c r="F48" i="1"/>
  <c r="E48" i="1"/>
  <c r="D48" i="1"/>
  <c r="D50" i="1" s="1"/>
  <c r="C48" i="1"/>
  <c r="C50" i="1" s="1"/>
  <c r="B48" i="1"/>
  <c r="B50" i="1" s="1"/>
  <c r="F43" i="1"/>
  <c r="E43" i="1"/>
  <c r="D43" i="1"/>
  <c r="C43" i="1"/>
  <c r="B43" i="1"/>
  <c r="F37" i="1"/>
  <c r="F51" i="1" s="1"/>
  <c r="F56" i="1" s="1"/>
  <c r="F70" i="1" s="1"/>
  <c r="E37" i="1"/>
  <c r="E51" i="1" s="1"/>
  <c r="E56" i="1" s="1"/>
  <c r="E70" i="1" s="1"/>
  <c r="D37" i="1"/>
  <c r="C37" i="1"/>
  <c r="B37" i="1"/>
  <c r="B51" i="1" s="1"/>
  <c r="B56" i="1" s="1"/>
  <c r="B70" i="1" s="1"/>
  <c r="F30" i="1"/>
  <c r="E30" i="1"/>
  <c r="D30" i="1"/>
  <c r="C30" i="1"/>
  <c r="B30" i="1"/>
  <c r="F25" i="1"/>
  <c r="D25" i="1"/>
  <c r="C25" i="1"/>
  <c r="F24" i="1"/>
  <c r="E24" i="1"/>
  <c r="E25" i="1" s="1"/>
  <c r="D24" i="1"/>
  <c r="C24" i="1"/>
  <c r="B24" i="1"/>
  <c r="B25" i="1" s="1"/>
  <c r="F17" i="1"/>
  <c r="F31" i="1" s="1"/>
  <c r="E17" i="1"/>
  <c r="F16" i="1"/>
  <c r="E16" i="1"/>
  <c r="D16" i="1"/>
  <c r="C16" i="1"/>
  <c r="B16" i="1"/>
  <c r="B17" i="1" s="1"/>
  <c r="F11" i="1"/>
  <c r="E11" i="1"/>
  <c r="D11" i="1"/>
  <c r="D17" i="1" s="1"/>
  <c r="D31" i="1" s="1"/>
  <c r="C11" i="1"/>
  <c r="C17" i="1" s="1"/>
  <c r="C31" i="1" s="1"/>
  <c r="B11" i="1"/>
  <c r="C78" i="3" l="1"/>
  <c r="G19" i="3"/>
  <c r="F79" i="3"/>
  <c r="F90" i="3" s="1"/>
  <c r="E78" i="3"/>
  <c r="E79" i="3" s="1"/>
  <c r="E90" i="3" s="1"/>
  <c r="C79" i="3"/>
  <c r="C90" i="3" s="1"/>
  <c r="D78" i="3"/>
  <c r="D79" i="3" s="1"/>
  <c r="D90" i="3" s="1"/>
  <c r="B89" i="3"/>
  <c r="G89" i="3" s="1"/>
  <c r="B58" i="3"/>
  <c r="B99" i="2"/>
  <c r="D58" i="2"/>
  <c r="D97" i="2"/>
  <c r="B64" i="2"/>
  <c r="D64" i="2" s="1"/>
  <c r="D55" i="2"/>
  <c r="C99" i="2"/>
  <c r="D99" i="2" s="1"/>
  <c r="D49" i="2"/>
  <c r="C89" i="2"/>
  <c r="C100" i="2" s="1"/>
  <c r="B88" i="2"/>
  <c r="D88" i="2" s="1"/>
  <c r="D42" i="2"/>
  <c r="C51" i="1"/>
  <c r="C56" i="1" s="1"/>
  <c r="C70" i="1" s="1"/>
  <c r="E31" i="1"/>
  <c r="B31" i="1"/>
  <c r="D51" i="1"/>
  <c r="D56" i="1" s="1"/>
  <c r="D70" i="1" s="1"/>
  <c r="G58" i="3" l="1"/>
  <c r="B78" i="3"/>
  <c r="B89" i="2"/>
  <c r="D89" i="2"/>
  <c r="B100" i="2"/>
  <c r="D100" i="2" s="1"/>
  <c r="G78" i="3" l="1"/>
  <c r="B79" i="3"/>
  <c r="B90" i="3" l="1"/>
  <c r="G90" i="3" s="1"/>
  <c r="G79" i="3"/>
</calcChain>
</file>

<file path=xl/sharedStrings.xml><?xml version="1.0" encoding="utf-8"?>
<sst xmlns="http://schemas.openxmlformats.org/spreadsheetml/2006/main" count="300" uniqueCount="180">
  <si>
    <t>CrossFit East Nashville</t>
  </si>
  <si>
    <t>Balance Sheet</t>
  </si>
  <si>
    <t>As of May 31, 2026</t>
  </si>
  <si>
    <t>Assets</t>
  </si>
  <si>
    <t>Current Assets</t>
  </si>
  <si>
    <t>Bank Accounts</t>
  </si>
  <si>
    <t>Checking (7608)</t>
  </si>
  <si>
    <t>Live Oak Bank</t>
  </si>
  <si>
    <t>Total for Bank Accounts</t>
  </si>
  <si>
    <t>Other Current Assets</t>
  </si>
  <si>
    <t>Payments to deposit</t>
  </si>
  <si>
    <t>Prepaid expenses</t>
  </si>
  <si>
    <t>Inventory Asset</t>
  </si>
  <si>
    <t>Total for Other Current Assets</t>
  </si>
  <si>
    <t>Total for Current Assets</t>
  </si>
  <si>
    <t>Fixed Assets</t>
  </si>
  <si>
    <t>Accumulated amortization</t>
  </si>
  <si>
    <t>Accumulated depreciation</t>
  </si>
  <si>
    <t>Equipment</t>
  </si>
  <si>
    <t>Improvements</t>
  </si>
  <si>
    <t>Gym Improvements</t>
  </si>
  <si>
    <t>Total for Improvements</t>
  </si>
  <si>
    <t>Total for Fixed Assets</t>
  </si>
  <si>
    <t>Other Assets</t>
  </si>
  <si>
    <t>Loan Fees</t>
  </si>
  <si>
    <t>Goodwill</t>
  </si>
  <si>
    <t>Security deposits</t>
  </si>
  <si>
    <t>Total for Other Assets</t>
  </si>
  <si>
    <t>Total for Assets</t>
  </si>
  <si>
    <t>Liabilities and Equity</t>
  </si>
  <si>
    <t>Liabilities</t>
  </si>
  <si>
    <t>Current Liabilities</t>
  </si>
  <si>
    <t>Accounts Payable</t>
  </si>
  <si>
    <t>Accounts Payable (A/P)</t>
  </si>
  <si>
    <t>Total for Accounts Payable</t>
  </si>
  <si>
    <t>Credit Cards</t>
  </si>
  <si>
    <t>C. LONGCRIER (6281) - 2</t>
  </si>
  <si>
    <t>Jordyn (6273) - 2</t>
  </si>
  <si>
    <t>J. SCHUMM (6299) - 2</t>
  </si>
  <si>
    <t>REAL ESTATE-COMML (5068) - 1</t>
  </si>
  <si>
    <t>Total for Credit Cards</t>
  </si>
  <si>
    <t>Other Current Liabilities</t>
  </si>
  <si>
    <t>Accrued Expenses</t>
  </si>
  <si>
    <t>Payroll wages and tax to pay</t>
  </si>
  <si>
    <t>Payroll tax to pay</t>
  </si>
  <si>
    <t>Total for Payroll wages and tax to pay</t>
  </si>
  <si>
    <t>Sales tax to pay</t>
  </si>
  <si>
    <t>Total for Other Current Liabilities</t>
  </si>
  <si>
    <t>Total for Current Liabilities</t>
  </si>
  <si>
    <t>Long-term Liabilities</t>
  </si>
  <si>
    <t>Long-term business loans</t>
  </si>
  <si>
    <t>Long-term loans from partners</t>
  </si>
  <si>
    <t>Total for Long-term Liabilities</t>
  </si>
  <si>
    <t>Total for Liabilities</t>
  </si>
  <si>
    <t>Equity</t>
  </si>
  <si>
    <t>Bob Elrod</t>
  </si>
  <si>
    <t>Brett Lee</t>
  </si>
  <si>
    <t>Christian Longcrier</t>
  </si>
  <si>
    <t>Demi Maslowski</t>
  </si>
  <si>
    <t>Jay Lee</t>
  </si>
  <si>
    <t>Jon &amp; Jordyn Schumm</t>
  </si>
  <si>
    <t>Opening balance equity</t>
  </si>
  <si>
    <t>Robert Clifton</t>
  </si>
  <si>
    <t>Steven Longcrier</t>
  </si>
  <si>
    <t>Retained Earnings</t>
  </si>
  <si>
    <t>Net Income</t>
  </si>
  <si>
    <t>Total for Equity</t>
  </si>
  <si>
    <t>Total for Liabilities and Equity</t>
  </si>
  <si>
    <t/>
  </si>
  <si>
    <t>Jan 2026</t>
  </si>
  <si>
    <t>Feb 2026</t>
  </si>
  <si>
    <t>Mar 2026</t>
  </si>
  <si>
    <t>Apr 2026</t>
  </si>
  <si>
    <t>May 2026</t>
  </si>
  <si>
    <t>Accrual Basis Monday, June 08, 2026 03:52 AM GMTZ</t>
  </si>
  <si>
    <t>Net Other Income</t>
  </si>
  <si>
    <t>Total for Other Expenses</t>
  </si>
  <si>
    <t>Total for Vehicle expenses</t>
  </si>
  <si>
    <t>Parking &amp; tolls</t>
  </si>
  <si>
    <t>Vehicle expenses</t>
  </si>
  <si>
    <t>Business loan interest</t>
  </si>
  <si>
    <t>Other Expenses</t>
  </si>
  <si>
    <t>Total for Other Income</t>
  </si>
  <si>
    <t>Interest earned</t>
  </si>
  <si>
    <t>Other Income</t>
  </si>
  <si>
    <t>Net Operating Income</t>
  </si>
  <si>
    <t>Total for Expenses</t>
  </si>
  <si>
    <t>Travel for Events</t>
  </si>
  <si>
    <t>Total for Supplies</t>
  </si>
  <si>
    <t>Vending Supplies</t>
  </si>
  <si>
    <t>Gym Supplies</t>
  </si>
  <si>
    <t>Apparel Supplies</t>
  </si>
  <si>
    <t>Supplies</t>
  </si>
  <si>
    <t>Total for Payroll expenses</t>
  </si>
  <si>
    <t>Workers' compensation insurance</t>
  </si>
  <si>
    <t>Stipend</t>
  </si>
  <si>
    <t>Salaries &amp; wages</t>
  </si>
  <si>
    <t>Platinum Pay</t>
  </si>
  <si>
    <t>Payroll taxes</t>
  </si>
  <si>
    <t>Payroll Fees</t>
  </si>
  <si>
    <t>Mobile Pay</t>
  </si>
  <si>
    <t>Elements/Intros Pay</t>
  </si>
  <si>
    <t>Contract labor</t>
  </si>
  <si>
    <t>Commissions</t>
  </si>
  <si>
    <t>Coaching Pay</t>
  </si>
  <si>
    <t>Administrative Pay</t>
  </si>
  <si>
    <t>Payroll expenses</t>
  </si>
  <si>
    <t>Total for Interest paid</t>
  </si>
  <si>
    <t>Investor Interest</t>
  </si>
  <si>
    <t>Interest paid</t>
  </si>
  <si>
    <t>Total for General business expenses</t>
  </si>
  <si>
    <t>Total for Utilities</t>
  </si>
  <si>
    <t>Internet &amp; TV services</t>
  </si>
  <si>
    <t>Utilities</t>
  </si>
  <si>
    <t>Taxes paid</t>
  </si>
  <si>
    <t>Repairs &amp; maintenance</t>
  </si>
  <si>
    <t>Total for Rent</t>
  </si>
  <si>
    <t>Equipment rental</t>
  </si>
  <si>
    <t>Rent</t>
  </si>
  <si>
    <t>Total for Office expenses</t>
  </si>
  <si>
    <t>Software &amp; apps</t>
  </si>
  <si>
    <t>Shipping &amp; postage</t>
  </si>
  <si>
    <t>Office supplies</t>
  </si>
  <si>
    <t>Office expenses</t>
  </si>
  <si>
    <t>Memberships &amp; subscriptions</t>
  </si>
  <si>
    <t>Total for Meals</t>
  </si>
  <si>
    <t>Team meals</t>
  </si>
  <si>
    <t>Meals</t>
  </si>
  <si>
    <t>Insurance</t>
  </si>
  <si>
    <t>Gifts</t>
  </si>
  <si>
    <t>Cleaning Expense</t>
  </si>
  <si>
    <t>Business licenses</t>
  </si>
  <si>
    <t>Total for Bank fees &amp; service charges</t>
  </si>
  <si>
    <t>Wodify Fees</t>
  </si>
  <si>
    <t>Square Fees</t>
  </si>
  <si>
    <t>Bank fees &amp; service charges</t>
  </si>
  <si>
    <t>Accounting fees</t>
  </si>
  <si>
    <t>General business expenses</t>
  </si>
  <si>
    <t>Total for Crossfit Expenses</t>
  </si>
  <si>
    <t>Training Courses</t>
  </si>
  <si>
    <t>Hosted Events</t>
  </si>
  <si>
    <t>Gym Equipment</t>
  </si>
  <si>
    <t>Events/Competitions</t>
  </si>
  <si>
    <t>Coaches Attire</t>
  </si>
  <si>
    <t>Crossfit Expenses</t>
  </si>
  <si>
    <t>Total for Advertising &amp; marketing</t>
  </si>
  <si>
    <t>Website ads</t>
  </si>
  <si>
    <t>Photography &amp; Videography</t>
  </si>
  <si>
    <t>Media</t>
  </si>
  <si>
    <t>Advertising &amp; marketing</t>
  </si>
  <si>
    <t>Expenses</t>
  </si>
  <si>
    <t>Gross Profit</t>
  </si>
  <si>
    <t>Total for Cost of Goods Sold</t>
  </si>
  <si>
    <t>Cost of goods sold</t>
  </si>
  <si>
    <t>Cost of Goods Sold</t>
  </si>
  <si>
    <t>Total for Income</t>
  </si>
  <si>
    <t>Vending Sales</t>
  </si>
  <si>
    <t>Semi Private Training</t>
  </si>
  <si>
    <t>Rental Income</t>
  </si>
  <si>
    <t>Refunds</t>
  </si>
  <si>
    <t>Personal Training</t>
  </si>
  <si>
    <t>Mobile Private Training</t>
  </si>
  <si>
    <t>Membership</t>
  </si>
  <si>
    <t>Equipment Sales</t>
  </si>
  <si>
    <t>Elements Training</t>
  </si>
  <si>
    <t>Drop In Sales</t>
  </si>
  <si>
    <t>Apparel Sales</t>
  </si>
  <si>
    <t>Income</t>
  </si>
  <si>
    <t>% Change (PY YTD)</t>
  </si>
  <si>
    <t>Jan 1 - May 31 2025 (PY YTD)</t>
  </si>
  <si>
    <t>Jan 1 - May 31 2026</t>
  </si>
  <si>
    <t>Total</t>
  </si>
  <si>
    <t>January 1-May 31, 2026</t>
  </si>
  <si>
    <t>Profit and Loss</t>
  </si>
  <si>
    <t>Accrual Basis Monday, June 08, 2026 03:51 AM GMTZ</t>
  </si>
  <si>
    <t>$2,892 charged in May but paid out in June - so platform recon shows a larger difference</t>
  </si>
  <si>
    <t>Barbell Voodoo</t>
  </si>
  <si>
    <t>Knoxville charges</t>
  </si>
  <si>
    <t>Costco - Murph food</t>
  </si>
  <si>
    <t>Von Elrods &amp; Red Headed Stranger + $10 starbucks gift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</si>
</sst>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&quot;$&quot;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29">
    <xf numFmtId="0" fontId="0" fillId="0" borderId="0" xfId="0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2" fillId="0" borderId="0" xfId="0" applyFont="1" applyAlignment="1">
      <alignment horizontal="left" wrapText="1" indent="5"/>
    </xf>
    <xf numFmtId="0" fontId="4" fillId="0" borderId="0" xfId="0" applyFont="1" applyAlignment="1">
      <alignment horizontal="left" wrapText="1" indent="4"/>
    </xf>
    <xf numFmtId="0" fontId="0" fillId="0" borderId="0" xfId="0" applyAlignment="1">
      <alignment wrapText="1"/>
    </xf>
    <xf numFmtId="0" fontId="3" fillId="0" borderId="1" xfId="1" applyFont="1" applyAlignment="1">
      <alignment horizontal="center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wrapText="1"/>
    </xf>
    <xf numFmtId="4" fontId="4" fillId="0" borderId="2" xfId="0" applyNumberFormat="1" applyFont="1" applyBorder="1" applyAlignment="1">
      <alignment wrapText="1"/>
    </xf>
    <xf numFmtId="164" fontId="4" fillId="0" borderId="2" xfId="0" applyNumberFormat="1" applyFont="1" applyBorder="1" applyAlignment="1">
      <alignment wrapText="1"/>
    </xf>
    <xf numFmtId="165" fontId="4" fillId="0" borderId="2" xfId="0" applyNumberFormat="1" applyFont="1" applyBorder="1" applyAlignment="1">
      <alignment wrapText="1"/>
    </xf>
    <xf numFmtId="164" fontId="2" fillId="0" borderId="0" xfId="0" applyNumberFormat="1" applyFont="1" applyAlignment="1">
      <alignment wrapText="1"/>
    </xf>
    <xf numFmtId="0" fontId="0" fillId="0" borderId="1" xfId="0" applyBorder="1" applyAlignment="1">
      <alignment wrapText="1"/>
    </xf>
    <xf numFmtId="0" fontId="3" fillId="0" borderId="1" xfId="1" applyFont="1" applyAlignment="1">
      <alignment horizontal="center" wrapText="1"/>
    </xf>
    <xf numFmtId="4" fontId="4" fillId="2" borderId="2" xfId="0" applyNumberFormat="1" applyFont="1" applyFill="1" applyBorder="1" applyAlignment="1">
      <alignment wrapText="1"/>
    </xf>
    <xf numFmtId="165" fontId="4" fillId="0" borderId="2" xfId="0" applyNumberFormat="1" applyFont="1" applyFill="1" applyBorder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F74"/>
  <sheetViews>
    <sheetView topLeftCell="A55" workbookViewId="0">
      <selection activeCell="F68" sqref="F68"/>
    </sheetView>
  </sheetViews>
  <sheetFormatPr defaultColWidth="11.296875" defaultRowHeight="15.6" x14ac:dyDescent="0.3"/>
  <cols>
    <col min="1" max="1" width="33.19921875" style="17" customWidth="1"/>
    <col min="2" max="2" width="17" style="17" customWidth="1"/>
    <col min="3" max="6" width="16.09765625" style="17" customWidth="1"/>
  </cols>
  <sheetData>
    <row r="1" spans="1:6" x14ac:dyDescent="0.3">
      <c r="A1" s="5" t="s">
        <v>0</v>
      </c>
      <c r="B1" s="4"/>
      <c r="C1" s="4"/>
      <c r="D1" s="4"/>
      <c r="E1" s="4"/>
      <c r="F1" s="4"/>
    </row>
    <row r="2" spans="1:6" x14ac:dyDescent="0.3">
      <c r="A2" s="3" t="s">
        <v>1</v>
      </c>
      <c r="B2" s="4"/>
      <c r="C2" s="4"/>
      <c r="D2" s="4"/>
      <c r="E2" s="4"/>
      <c r="F2" s="4"/>
    </row>
    <row r="3" spans="1:6" x14ac:dyDescent="0.3">
      <c r="A3" s="2" t="s">
        <v>2</v>
      </c>
      <c r="B3" s="4"/>
      <c r="C3" s="4"/>
      <c r="D3" s="4"/>
      <c r="E3" s="4"/>
      <c r="F3" s="4"/>
    </row>
    <row r="5" spans="1:6" x14ac:dyDescent="0.3">
      <c r="A5" s="18" t="s">
        <v>68</v>
      </c>
      <c r="B5" s="18" t="s">
        <v>69</v>
      </c>
      <c r="C5" s="18" t="s">
        <v>70</v>
      </c>
      <c r="D5" s="18" t="s">
        <v>71</v>
      </c>
      <c r="E5" s="18" t="s">
        <v>72</v>
      </c>
      <c r="F5" s="18" t="s">
        <v>73</v>
      </c>
    </row>
    <row r="6" spans="1:6" x14ac:dyDescent="0.3">
      <c r="A6" s="6" t="s">
        <v>3</v>
      </c>
      <c r="B6" s="19"/>
      <c r="C6" s="19"/>
      <c r="D6" s="19"/>
      <c r="E6" s="19"/>
      <c r="F6" s="19"/>
    </row>
    <row r="7" spans="1:6" x14ac:dyDescent="0.3">
      <c r="A7" s="7" t="s">
        <v>4</v>
      </c>
      <c r="B7" s="19"/>
      <c r="C7" s="19"/>
      <c r="D7" s="19"/>
      <c r="E7" s="19"/>
      <c r="F7" s="19"/>
    </row>
    <row r="8" spans="1:6" x14ac:dyDescent="0.3">
      <c r="A8" s="8" t="s">
        <v>5</v>
      </c>
      <c r="B8" s="19"/>
      <c r="C8" s="19"/>
      <c r="D8" s="19"/>
      <c r="E8" s="19"/>
      <c r="F8" s="19"/>
    </row>
    <row r="9" spans="1:6" x14ac:dyDescent="0.3">
      <c r="A9" s="9" t="s">
        <v>6</v>
      </c>
      <c r="B9" s="20">
        <v>34893.96</v>
      </c>
      <c r="C9" s="20">
        <v>32590.59</v>
      </c>
      <c r="D9" s="20">
        <v>25837.06</v>
      </c>
      <c r="E9" s="20">
        <v>28148.89</v>
      </c>
      <c r="F9" s="20">
        <v>29672.87</v>
      </c>
    </row>
    <row r="10" spans="1:6" x14ac:dyDescent="0.3">
      <c r="A10" s="9" t="s">
        <v>7</v>
      </c>
      <c r="B10" s="20">
        <v>103908.09</v>
      </c>
      <c r="C10" s="20">
        <v>113352.53</v>
      </c>
      <c r="D10" s="20">
        <v>128344.83</v>
      </c>
      <c r="E10" s="20">
        <v>133412.37</v>
      </c>
      <c r="F10" s="20">
        <v>138739.26</v>
      </c>
    </row>
    <row r="11" spans="1:6" x14ac:dyDescent="0.3">
      <c r="A11" s="10" t="s">
        <v>8</v>
      </c>
      <c r="B11" s="21">
        <f>B8+B9+B10</f>
        <v>138802.04999999999</v>
      </c>
      <c r="C11" s="21">
        <f>C8+C9+C10</f>
        <v>145943.12</v>
      </c>
      <c r="D11" s="21">
        <f>D8+D9+D10</f>
        <v>154181.89000000001</v>
      </c>
      <c r="E11" s="21">
        <f>E8+E9+E10</f>
        <v>161561.26</v>
      </c>
      <c r="F11" s="21">
        <f>F8+F9+F10</f>
        <v>168412.13</v>
      </c>
    </row>
    <row r="12" spans="1:6" x14ac:dyDescent="0.3">
      <c r="A12" s="8" t="s">
        <v>9</v>
      </c>
      <c r="B12" s="19"/>
      <c r="C12" s="19"/>
      <c r="D12" s="19"/>
      <c r="E12" s="19"/>
      <c r="F12" s="19"/>
    </row>
    <row r="13" spans="1:6" x14ac:dyDescent="0.3">
      <c r="A13" s="9" t="s">
        <v>10</v>
      </c>
      <c r="B13" s="20">
        <v>2974.29</v>
      </c>
      <c r="C13" s="20">
        <v>5821.73</v>
      </c>
      <c r="D13" s="20">
        <v>7919.3099999999995</v>
      </c>
      <c r="E13" s="20">
        <v>7340.5499999999993</v>
      </c>
      <c r="F13" s="20">
        <v>5913.9499999999989</v>
      </c>
    </row>
    <row r="14" spans="1:6" x14ac:dyDescent="0.3">
      <c r="A14" s="9" t="s">
        <v>11</v>
      </c>
      <c r="B14" s="20">
        <v>26563.899999999998</v>
      </c>
      <c r="C14" s="20">
        <v>25734.159999999996</v>
      </c>
      <c r="D14" s="20">
        <v>24904.419999999995</v>
      </c>
      <c r="E14" s="20">
        <v>23359.079999999994</v>
      </c>
      <c r="F14" s="20">
        <v>22529.339999999993</v>
      </c>
    </row>
    <row r="15" spans="1:6" x14ac:dyDescent="0.3">
      <c r="A15" s="9" t="s">
        <v>12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</row>
    <row r="16" spans="1:6" x14ac:dyDescent="0.3">
      <c r="A16" s="10" t="s">
        <v>13</v>
      </c>
      <c r="B16" s="21">
        <f>B12+B13+B14+B15</f>
        <v>29538.19</v>
      </c>
      <c r="C16" s="21">
        <f>C12+C13+C14+C15</f>
        <v>31555.889999999996</v>
      </c>
      <c r="D16" s="21">
        <f>D12+D13+D14+D15</f>
        <v>32823.729999999996</v>
      </c>
      <c r="E16" s="21">
        <f>E12+E13+E14+E15</f>
        <v>30699.629999999994</v>
      </c>
      <c r="F16" s="21">
        <f>F12+F13+F14+F15</f>
        <v>28443.289999999994</v>
      </c>
    </row>
    <row r="17" spans="1:6" x14ac:dyDescent="0.3">
      <c r="A17" s="11" t="s">
        <v>14</v>
      </c>
      <c r="B17" s="21">
        <f>B7+B11+B16</f>
        <v>168340.24</v>
      </c>
      <c r="C17" s="21">
        <f>C7+C11+C16</f>
        <v>177499.00999999998</v>
      </c>
      <c r="D17" s="21">
        <f>D7+D11+D16</f>
        <v>187005.62</v>
      </c>
      <c r="E17" s="21">
        <f>E7+E11+E16</f>
        <v>192260.89</v>
      </c>
      <c r="F17" s="21">
        <f>F7+F11+F16</f>
        <v>196855.41999999998</v>
      </c>
    </row>
    <row r="18" spans="1:6" x14ac:dyDescent="0.3">
      <c r="A18" s="7" t="s">
        <v>15</v>
      </c>
      <c r="B18" s="19"/>
      <c r="C18" s="19"/>
      <c r="D18" s="19"/>
      <c r="E18" s="19"/>
      <c r="F18" s="19"/>
    </row>
    <row r="19" spans="1:6" x14ac:dyDescent="0.3">
      <c r="A19" s="8" t="s">
        <v>16</v>
      </c>
      <c r="B19" s="20">
        <v>-155714</v>
      </c>
      <c r="C19" s="20">
        <v>-155714</v>
      </c>
      <c r="D19" s="20">
        <v>-155714</v>
      </c>
      <c r="E19" s="20">
        <v>-155714</v>
      </c>
      <c r="F19" s="20">
        <v>-155714</v>
      </c>
    </row>
    <row r="20" spans="1:6" x14ac:dyDescent="0.3">
      <c r="A20" s="8" t="s">
        <v>17</v>
      </c>
      <c r="B20" s="20">
        <v>-40300</v>
      </c>
      <c r="C20" s="20">
        <v>-40300</v>
      </c>
      <c r="D20" s="20">
        <v>-40300</v>
      </c>
      <c r="E20" s="20">
        <v>-40300</v>
      </c>
      <c r="F20" s="20">
        <v>-40300</v>
      </c>
    </row>
    <row r="21" spans="1:6" x14ac:dyDescent="0.3">
      <c r="A21" s="8" t="s">
        <v>18</v>
      </c>
      <c r="B21" s="20">
        <v>26000</v>
      </c>
      <c r="C21" s="20">
        <v>26000</v>
      </c>
      <c r="D21" s="20">
        <v>26000</v>
      </c>
      <c r="E21" s="20">
        <v>26000</v>
      </c>
      <c r="F21" s="20">
        <v>26000</v>
      </c>
    </row>
    <row r="22" spans="1:6" x14ac:dyDescent="0.3">
      <c r="A22" s="8" t="s">
        <v>19</v>
      </c>
      <c r="B22" s="19"/>
      <c r="C22" s="19"/>
      <c r="D22" s="19"/>
      <c r="E22" s="19"/>
      <c r="F22" s="19"/>
    </row>
    <row r="23" spans="1:6" x14ac:dyDescent="0.3">
      <c r="A23" s="9" t="s">
        <v>20</v>
      </c>
      <c r="B23" s="20">
        <v>14300</v>
      </c>
      <c r="C23" s="20">
        <v>14300</v>
      </c>
      <c r="D23" s="20">
        <v>14300</v>
      </c>
      <c r="E23" s="20">
        <v>14300</v>
      </c>
      <c r="F23" s="20">
        <v>14300</v>
      </c>
    </row>
    <row r="24" spans="1:6" x14ac:dyDescent="0.3">
      <c r="A24" s="10" t="s">
        <v>21</v>
      </c>
      <c r="B24" s="21">
        <f>B22+B23</f>
        <v>14300</v>
      </c>
      <c r="C24" s="21">
        <f>C22+C23</f>
        <v>14300</v>
      </c>
      <c r="D24" s="21">
        <f>D22+D23</f>
        <v>14300</v>
      </c>
      <c r="E24" s="21">
        <f>E22+E23</f>
        <v>14300</v>
      </c>
      <c r="F24" s="21">
        <f>F22+F23</f>
        <v>14300</v>
      </c>
    </row>
    <row r="25" spans="1:6" x14ac:dyDescent="0.3">
      <c r="A25" s="11" t="s">
        <v>22</v>
      </c>
      <c r="B25" s="21">
        <f>B18+B19+B20+B21+B24</f>
        <v>-155714</v>
      </c>
      <c r="C25" s="21">
        <f>C18+C19+C20+C21+C24</f>
        <v>-155714</v>
      </c>
      <c r="D25" s="21">
        <f>D18+D19+D20+D21+D24</f>
        <v>-155714</v>
      </c>
      <c r="E25" s="21">
        <f>E18+E19+E20+E21+E24</f>
        <v>-155714</v>
      </c>
      <c r="F25" s="21">
        <f>F18+F19+F20+F21+F24</f>
        <v>-155714</v>
      </c>
    </row>
    <row r="26" spans="1:6" x14ac:dyDescent="0.3">
      <c r="A26" s="7" t="s">
        <v>23</v>
      </c>
      <c r="B26" s="19"/>
      <c r="C26" s="19"/>
      <c r="D26" s="19"/>
      <c r="E26" s="19"/>
      <c r="F26" s="19"/>
    </row>
    <row r="27" spans="1:6" x14ac:dyDescent="0.3">
      <c r="A27" s="8" t="s">
        <v>24</v>
      </c>
      <c r="B27" s="20">
        <v>9749.25</v>
      </c>
      <c r="C27" s="20">
        <v>9749.25</v>
      </c>
      <c r="D27" s="20">
        <v>9749.25</v>
      </c>
      <c r="E27" s="20">
        <v>9749.25</v>
      </c>
      <c r="F27" s="20">
        <v>9749.25</v>
      </c>
    </row>
    <row r="28" spans="1:6" x14ac:dyDescent="0.3">
      <c r="A28" s="8" t="s">
        <v>25</v>
      </c>
      <c r="B28" s="20">
        <v>990000</v>
      </c>
      <c r="C28" s="20">
        <v>990000</v>
      </c>
      <c r="D28" s="20">
        <v>990000</v>
      </c>
      <c r="E28" s="20">
        <v>990000</v>
      </c>
      <c r="F28" s="20">
        <v>990000</v>
      </c>
    </row>
    <row r="29" spans="1:6" x14ac:dyDescent="0.3">
      <c r="A29" s="8" t="s">
        <v>26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</row>
    <row r="30" spans="1:6" x14ac:dyDescent="0.3">
      <c r="A30" s="11" t="s">
        <v>27</v>
      </c>
      <c r="B30" s="21">
        <f>B26+B27+B28+B29</f>
        <v>999749.25</v>
      </c>
      <c r="C30" s="21">
        <f>C26+C27+C28+C29</f>
        <v>999749.25</v>
      </c>
      <c r="D30" s="21">
        <f>D26+D27+D28+D29</f>
        <v>999749.25</v>
      </c>
      <c r="E30" s="21">
        <f>E26+E27+E28+E29</f>
        <v>999749.25</v>
      </c>
      <c r="F30" s="21">
        <f>F26+F27+F28+F29</f>
        <v>999749.25</v>
      </c>
    </row>
    <row r="31" spans="1:6" x14ac:dyDescent="0.3">
      <c r="A31" s="12" t="s">
        <v>28</v>
      </c>
      <c r="B31" s="21">
        <f>B6+B17+B25+B30</f>
        <v>1012375.49</v>
      </c>
      <c r="C31" s="21">
        <f>C6+C17+C25+C30</f>
        <v>1021534.26</v>
      </c>
      <c r="D31" s="21">
        <f>D6+D17+D25+D30</f>
        <v>1031040.87</v>
      </c>
      <c r="E31" s="21">
        <f>E6+E17+E25+E30</f>
        <v>1036296.14</v>
      </c>
      <c r="F31" s="21">
        <f>F6+F17+F25+F30</f>
        <v>1040890.6699999999</v>
      </c>
    </row>
    <row r="32" spans="1:6" x14ac:dyDescent="0.3">
      <c r="A32" s="6" t="s">
        <v>29</v>
      </c>
      <c r="B32" s="19"/>
      <c r="C32" s="19"/>
      <c r="D32" s="19"/>
      <c r="E32" s="19"/>
      <c r="F32" s="19"/>
    </row>
    <row r="33" spans="1:6" x14ac:dyDescent="0.3">
      <c r="A33" s="7" t="s">
        <v>30</v>
      </c>
      <c r="B33" s="19"/>
      <c r="C33" s="19"/>
      <c r="D33" s="19"/>
      <c r="E33" s="19"/>
      <c r="F33" s="19"/>
    </row>
    <row r="34" spans="1:6" x14ac:dyDescent="0.3">
      <c r="A34" s="8" t="s">
        <v>31</v>
      </c>
      <c r="B34" s="19"/>
      <c r="C34" s="19"/>
      <c r="D34" s="19"/>
      <c r="E34" s="19"/>
      <c r="F34" s="19"/>
    </row>
    <row r="35" spans="1:6" x14ac:dyDescent="0.3">
      <c r="A35" s="9" t="s">
        <v>32</v>
      </c>
      <c r="B35" s="19"/>
      <c r="C35" s="19"/>
      <c r="D35" s="19"/>
      <c r="E35" s="19"/>
      <c r="F35" s="19"/>
    </row>
    <row r="36" spans="1:6" x14ac:dyDescent="0.3">
      <c r="A36" s="13" t="s">
        <v>33</v>
      </c>
      <c r="B36" s="20">
        <v>1636</v>
      </c>
      <c r="C36" s="20">
        <v>1636</v>
      </c>
      <c r="D36" s="20">
        <v>811</v>
      </c>
      <c r="E36" s="20">
        <v>1271</v>
      </c>
      <c r="F36" s="20">
        <v>1271</v>
      </c>
    </row>
    <row r="37" spans="1:6" x14ac:dyDescent="0.3">
      <c r="A37" s="14" t="s">
        <v>34</v>
      </c>
      <c r="B37" s="21">
        <f>B35+B36</f>
        <v>1636</v>
      </c>
      <c r="C37" s="21">
        <f>C35+C36</f>
        <v>1636</v>
      </c>
      <c r="D37" s="21">
        <f>D35+D36</f>
        <v>811</v>
      </c>
      <c r="E37" s="21">
        <f>E35+E36</f>
        <v>1271</v>
      </c>
      <c r="F37" s="21">
        <f>F35+F36</f>
        <v>1271</v>
      </c>
    </row>
    <row r="38" spans="1:6" x14ac:dyDescent="0.3">
      <c r="A38" s="9" t="s">
        <v>35</v>
      </c>
      <c r="B38" s="19"/>
      <c r="C38" s="19"/>
      <c r="D38" s="19"/>
      <c r="E38" s="19"/>
      <c r="F38" s="19"/>
    </row>
    <row r="39" spans="1:6" x14ac:dyDescent="0.3">
      <c r="A39" s="13" t="s">
        <v>36</v>
      </c>
      <c r="B39" s="20">
        <v>67923.290000000008</v>
      </c>
      <c r="C39" s="20">
        <v>72925.16</v>
      </c>
      <c r="D39" s="20">
        <v>81938.16</v>
      </c>
      <c r="E39" s="20">
        <v>84834.290000000008</v>
      </c>
      <c r="F39" s="20">
        <v>87684.27</v>
      </c>
    </row>
    <row r="40" spans="1:6" x14ac:dyDescent="0.3">
      <c r="A40" s="13" t="s">
        <v>37</v>
      </c>
      <c r="B40" s="20">
        <v>-59559.590000000004</v>
      </c>
      <c r="C40" s="20">
        <v>-58716.41</v>
      </c>
      <c r="D40" s="20">
        <v>-67404.540000000008</v>
      </c>
      <c r="E40" s="20">
        <v>-70888.33</v>
      </c>
      <c r="F40" s="20">
        <v>-83474.720000000001</v>
      </c>
    </row>
    <row r="41" spans="1:6" x14ac:dyDescent="0.3">
      <c r="A41" s="13" t="s">
        <v>38</v>
      </c>
      <c r="B41" s="20">
        <v>13888.769999999999</v>
      </c>
      <c r="C41" s="20">
        <v>14072.989999999998</v>
      </c>
      <c r="D41" s="20">
        <v>15230.039999999997</v>
      </c>
      <c r="E41" s="20">
        <v>15612.369999999997</v>
      </c>
      <c r="F41" s="20">
        <v>16506.159999999996</v>
      </c>
    </row>
    <row r="42" spans="1:6" x14ac:dyDescent="0.3">
      <c r="A42" s="13" t="s">
        <v>39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</row>
    <row r="43" spans="1:6" x14ac:dyDescent="0.3">
      <c r="A43" s="14" t="s">
        <v>40</v>
      </c>
      <c r="B43" s="21">
        <f>B38+B39+B40+B41+B42</f>
        <v>22252.47</v>
      </c>
      <c r="C43" s="21">
        <f>C38+C39+C40+C41+C42</f>
        <v>28281.739999999998</v>
      </c>
      <c r="D43" s="21">
        <f>D38+D39+D40+D41+D42</f>
        <v>29763.659999999993</v>
      </c>
      <c r="E43" s="21">
        <f>E38+E39+E40+E41+E42</f>
        <v>29558.33</v>
      </c>
      <c r="F43" s="21">
        <f>F38+F39+F40+F41+F42</f>
        <v>20715.71</v>
      </c>
    </row>
    <row r="44" spans="1:6" x14ac:dyDescent="0.3">
      <c r="A44" s="9" t="s">
        <v>41</v>
      </c>
      <c r="B44" s="19"/>
      <c r="C44" s="19"/>
      <c r="D44" s="19"/>
      <c r="E44" s="19"/>
      <c r="F44" s="19"/>
    </row>
    <row r="45" spans="1:6" x14ac:dyDescent="0.3">
      <c r="A45" s="13" t="s">
        <v>42</v>
      </c>
      <c r="B45" s="20">
        <v>16370.5</v>
      </c>
      <c r="C45" s="20">
        <v>16511.099999999999</v>
      </c>
      <c r="D45" s="20">
        <v>18419.8</v>
      </c>
      <c r="E45" s="20">
        <v>19070.45</v>
      </c>
      <c r="F45" s="20">
        <v>14670.82</v>
      </c>
    </row>
    <row r="46" spans="1:6" x14ac:dyDescent="0.3">
      <c r="A46" s="13" t="s">
        <v>43</v>
      </c>
      <c r="B46" s="19"/>
      <c r="C46" s="19"/>
      <c r="D46" s="19"/>
      <c r="E46" s="19"/>
      <c r="F46" s="19"/>
    </row>
    <row r="47" spans="1:6" x14ac:dyDescent="0.3">
      <c r="A47" s="15" t="s">
        <v>44</v>
      </c>
      <c r="B47" s="20">
        <v>0</v>
      </c>
      <c r="C47" s="20">
        <v>0</v>
      </c>
      <c r="D47" s="20">
        <v>0</v>
      </c>
      <c r="E47" s="20">
        <v>637.08000000000004</v>
      </c>
      <c r="F47" s="20">
        <v>0</v>
      </c>
    </row>
    <row r="48" spans="1:6" x14ac:dyDescent="0.3">
      <c r="A48" s="16" t="s">
        <v>45</v>
      </c>
      <c r="B48" s="21">
        <f>B46+B47</f>
        <v>0</v>
      </c>
      <c r="C48" s="21">
        <f>C46+C47</f>
        <v>0</v>
      </c>
      <c r="D48" s="21">
        <f>D46+D47</f>
        <v>0</v>
      </c>
      <c r="E48" s="21">
        <f>E46+E47</f>
        <v>637.08000000000004</v>
      </c>
      <c r="F48" s="21">
        <f>F46+F47</f>
        <v>0</v>
      </c>
    </row>
    <row r="49" spans="1:6" x14ac:dyDescent="0.3">
      <c r="A49" s="13" t="s">
        <v>46</v>
      </c>
      <c r="B49" s="20">
        <v>122</v>
      </c>
      <c r="C49" s="20">
        <v>138</v>
      </c>
      <c r="D49" s="20">
        <v>199</v>
      </c>
      <c r="E49" s="20">
        <v>192</v>
      </c>
      <c r="F49" s="20">
        <v>274</v>
      </c>
    </row>
    <row r="50" spans="1:6" x14ac:dyDescent="0.3">
      <c r="A50" s="14" t="s">
        <v>47</v>
      </c>
      <c r="B50" s="21">
        <f>B44+B45+B48+B49</f>
        <v>16492.5</v>
      </c>
      <c r="C50" s="21">
        <f>C44+C45+C48+C49</f>
        <v>16649.099999999999</v>
      </c>
      <c r="D50" s="21">
        <f>D44+D45+D48+D49</f>
        <v>18618.8</v>
      </c>
      <c r="E50" s="21">
        <f>E44+E45+E48+E49</f>
        <v>19899.530000000002</v>
      </c>
      <c r="F50" s="21">
        <f>F44+F45+F48+F49</f>
        <v>14944.82</v>
      </c>
    </row>
    <row r="51" spans="1:6" x14ac:dyDescent="0.3">
      <c r="A51" s="10" t="s">
        <v>48</v>
      </c>
      <c r="B51" s="21">
        <f>B34+B37+B43+B50</f>
        <v>40380.97</v>
      </c>
      <c r="C51" s="21">
        <f>C34+C37+C43+C50</f>
        <v>46566.84</v>
      </c>
      <c r="D51" s="21">
        <f>D34+D37+D43+D50</f>
        <v>49193.459999999992</v>
      </c>
      <c r="E51" s="21">
        <f>E34+E37+E43+E50</f>
        <v>50728.86</v>
      </c>
      <c r="F51" s="21">
        <f>F34+F37+F43+F50</f>
        <v>36931.53</v>
      </c>
    </row>
    <row r="52" spans="1:6" x14ac:dyDescent="0.3">
      <c r="A52" s="8" t="s">
        <v>49</v>
      </c>
      <c r="B52" s="19"/>
      <c r="C52" s="19"/>
      <c r="D52" s="19"/>
      <c r="E52" s="19"/>
      <c r="F52" s="19"/>
    </row>
    <row r="53" spans="1:6" x14ac:dyDescent="0.3">
      <c r="A53" s="9" t="s">
        <v>50</v>
      </c>
      <c r="B53" s="20">
        <v>808546.69</v>
      </c>
      <c r="C53" s="20">
        <v>805971.98</v>
      </c>
      <c r="D53" s="20">
        <v>802944.21</v>
      </c>
      <c r="E53" s="20">
        <v>800258.09</v>
      </c>
      <c r="F53" s="20">
        <v>797571.97</v>
      </c>
    </row>
    <row r="54" spans="1:6" x14ac:dyDescent="0.3">
      <c r="A54" s="9" t="s">
        <v>51</v>
      </c>
      <c r="B54" s="20">
        <v>34000</v>
      </c>
      <c r="C54" s="20">
        <v>34000</v>
      </c>
      <c r="D54" s="20">
        <v>34000</v>
      </c>
      <c r="E54" s="20">
        <v>34000</v>
      </c>
      <c r="F54" s="20">
        <v>34000</v>
      </c>
    </row>
    <row r="55" spans="1:6" x14ac:dyDescent="0.3">
      <c r="A55" s="10" t="s">
        <v>52</v>
      </c>
      <c r="B55" s="21">
        <f>B52+B53+B54</f>
        <v>842546.69</v>
      </c>
      <c r="C55" s="21">
        <f>C52+C53+C54</f>
        <v>839971.98</v>
      </c>
      <c r="D55" s="21">
        <f>D52+D53+D54</f>
        <v>836944.21</v>
      </c>
      <c r="E55" s="21">
        <f>E52+E53+E54</f>
        <v>834258.09</v>
      </c>
      <c r="F55" s="21">
        <f>F52+F53+F54</f>
        <v>831571.97</v>
      </c>
    </row>
    <row r="56" spans="1:6" x14ac:dyDescent="0.3">
      <c r="A56" s="11" t="s">
        <v>53</v>
      </c>
      <c r="B56" s="21">
        <f>B33+B51+B55</f>
        <v>882927.65999999992</v>
      </c>
      <c r="C56" s="21">
        <f>C33+C51+C55</f>
        <v>886538.82</v>
      </c>
      <c r="D56" s="21">
        <f>D33+D51+D55</f>
        <v>886137.66999999993</v>
      </c>
      <c r="E56" s="21">
        <f>E33+E51+E55</f>
        <v>884986.95</v>
      </c>
      <c r="F56" s="21">
        <f>F33+F51+F55</f>
        <v>868503.5</v>
      </c>
    </row>
    <row r="57" spans="1:6" x14ac:dyDescent="0.3">
      <c r="A57" s="7" t="s">
        <v>54</v>
      </c>
      <c r="B57" s="19"/>
      <c r="C57" s="19"/>
      <c r="D57" s="19"/>
      <c r="E57" s="19"/>
      <c r="F57" s="19"/>
    </row>
    <row r="58" spans="1:6" x14ac:dyDescent="0.3">
      <c r="A58" s="8" t="s">
        <v>55</v>
      </c>
      <c r="B58" s="20">
        <v>25000</v>
      </c>
      <c r="C58" s="20">
        <v>25000</v>
      </c>
      <c r="D58" s="20">
        <v>25000</v>
      </c>
      <c r="E58" s="20">
        <v>25000</v>
      </c>
      <c r="F58" s="20">
        <v>25000</v>
      </c>
    </row>
    <row r="59" spans="1:6" x14ac:dyDescent="0.3">
      <c r="A59" s="8" t="s">
        <v>56</v>
      </c>
      <c r="B59" s="20">
        <v>25000</v>
      </c>
      <c r="C59" s="20">
        <v>25000</v>
      </c>
      <c r="D59" s="20">
        <v>25000</v>
      </c>
      <c r="E59" s="20">
        <v>25000</v>
      </c>
      <c r="F59" s="20">
        <v>25000</v>
      </c>
    </row>
    <row r="60" spans="1:6" x14ac:dyDescent="0.3">
      <c r="A60" s="8" t="s">
        <v>57</v>
      </c>
      <c r="B60" s="20">
        <v>-7314</v>
      </c>
      <c r="C60" s="20">
        <v>-7314</v>
      </c>
      <c r="D60" s="20">
        <v>-7314</v>
      </c>
      <c r="E60" s="20">
        <v>-7314</v>
      </c>
      <c r="F60" s="20">
        <v>-7314</v>
      </c>
    </row>
    <row r="61" spans="1:6" x14ac:dyDescent="0.3">
      <c r="A61" s="8" t="s">
        <v>58</v>
      </c>
      <c r="B61" s="20">
        <v>50000</v>
      </c>
      <c r="C61" s="20">
        <v>50000</v>
      </c>
      <c r="D61" s="20">
        <v>50000</v>
      </c>
      <c r="E61" s="20">
        <v>50000</v>
      </c>
      <c r="F61" s="20">
        <v>50000</v>
      </c>
    </row>
    <row r="62" spans="1:6" x14ac:dyDescent="0.3">
      <c r="A62" s="8" t="s">
        <v>59</v>
      </c>
      <c r="B62" s="20">
        <v>25000</v>
      </c>
      <c r="C62" s="20">
        <v>25000</v>
      </c>
      <c r="D62" s="20">
        <v>25000</v>
      </c>
      <c r="E62" s="20">
        <v>25000</v>
      </c>
      <c r="F62" s="20">
        <v>25000</v>
      </c>
    </row>
    <row r="63" spans="1:6" x14ac:dyDescent="0.3">
      <c r="A63" s="8" t="s">
        <v>60</v>
      </c>
      <c r="B63" s="20">
        <v>-7314</v>
      </c>
      <c r="C63" s="20">
        <v>-7314</v>
      </c>
      <c r="D63" s="20">
        <v>-7314</v>
      </c>
      <c r="E63" s="20">
        <v>-7314</v>
      </c>
      <c r="F63" s="20">
        <v>-7314</v>
      </c>
    </row>
    <row r="64" spans="1:6" x14ac:dyDescent="0.3">
      <c r="A64" s="8" t="s">
        <v>61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</row>
    <row r="65" spans="1:6" x14ac:dyDescent="0.3">
      <c r="A65" s="8" t="s">
        <v>62</v>
      </c>
      <c r="B65" s="20">
        <v>12500</v>
      </c>
      <c r="C65" s="20">
        <v>12500</v>
      </c>
      <c r="D65" s="20">
        <v>12500</v>
      </c>
      <c r="E65" s="20">
        <v>12500</v>
      </c>
      <c r="F65" s="20">
        <v>12500</v>
      </c>
    </row>
    <row r="66" spans="1:6" x14ac:dyDescent="0.3">
      <c r="A66" s="8" t="s">
        <v>63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</row>
    <row r="67" spans="1:6" x14ac:dyDescent="0.3">
      <c r="A67" s="8" t="s">
        <v>64</v>
      </c>
      <c r="B67" s="20">
        <v>5736.1199999999953</v>
      </c>
      <c r="C67" s="20">
        <v>5736.1199999999953</v>
      </c>
      <c r="D67" s="20">
        <v>5736.1199999999953</v>
      </c>
      <c r="E67" s="20">
        <v>5736.1199999999953</v>
      </c>
      <c r="F67" s="20">
        <v>5736.1199999999953</v>
      </c>
    </row>
    <row r="68" spans="1:6" x14ac:dyDescent="0.3">
      <c r="A68" s="8" t="s">
        <v>65</v>
      </c>
      <c r="B68" s="20">
        <v>839.71000000000367</v>
      </c>
      <c r="C68" s="20">
        <v>6387.3199999999824</v>
      </c>
      <c r="D68" s="20">
        <v>16295.07999999998</v>
      </c>
      <c r="E68" s="20">
        <v>22701.069999999963</v>
      </c>
      <c r="F68" s="20">
        <v>43779.049999999981</v>
      </c>
    </row>
    <row r="69" spans="1:6" x14ac:dyDescent="0.3">
      <c r="A69" s="11" t="s">
        <v>66</v>
      </c>
      <c r="B69" s="21">
        <f>B57+B58+B59+B60+B61+B62+B63+B64+B65+B66+B67+B68</f>
        <v>129447.83</v>
      </c>
      <c r="C69" s="21">
        <f>C57+C58+C59+C60+C61+C62+C63+C64+C65+C66+C67+C68</f>
        <v>134995.43999999997</v>
      </c>
      <c r="D69" s="21">
        <f>D57+D58+D59+D60+D61+D62+D63+D64+D65+D66+D67+D68</f>
        <v>144903.19999999998</v>
      </c>
      <c r="E69" s="21">
        <f>E57+E58+E59+E60+E61+E62+E63+E64+E65+E66+E67+E68</f>
        <v>151309.18999999994</v>
      </c>
      <c r="F69" s="21">
        <f>F57+F58+F59+F60+F61+F62+F63+F64+F65+F66+F67+F68</f>
        <v>172387.16999999998</v>
      </c>
    </row>
    <row r="70" spans="1:6" x14ac:dyDescent="0.3">
      <c r="A70" s="12" t="s">
        <v>67</v>
      </c>
      <c r="B70" s="21">
        <f>B32+B56+B69</f>
        <v>1012375.4899999999</v>
      </c>
      <c r="C70" s="21">
        <f>C32+C56+C69</f>
        <v>1021534.2599999999</v>
      </c>
      <c r="D70" s="21">
        <f>D32+D56+D69</f>
        <v>1031040.8699999999</v>
      </c>
      <c r="E70" s="21">
        <f>E32+E56+E69</f>
        <v>1036296.1399999999</v>
      </c>
      <c r="F70" s="21">
        <f>F32+F56+F69</f>
        <v>1040890.6699999999</v>
      </c>
    </row>
    <row r="74" spans="1:6" x14ac:dyDescent="0.3">
      <c r="A74" s="1" t="s">
        <v>74</v>
      </c>
      <c r="B74" s="4"/>
      <c r="C74" s="4"/>
      <c r="D74" s="4"/>
      <c r="E74" s="4"/>
      <c r="F74" s="4"/>
    </row>
  </sheetData>
  <mergeCells count="4">
    <mergeCell ref="A1:F1"/>
    <mergeCell ref="A2:F2"/>
    <mergeCell ref="A3:F3"/>
    <mergeCell ref="A74:F7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15F8-70E1-4B9F-80E6-A77C2429E6CD}">
  <dimension ref="A1:I94"/>
  <sheetViews>
    <sheetView tabSelected="1" topLeftCell="A25" workbookViewId="0">
      <selection activeCell="F79" sqref="F79"/>
    </sheetView>
  </sheetViews>
  <sheetFormatPr defaultColWidth="11.296875" defaultRowHeight="15.6" x14ac:dyDescent="0.3"/>
  <cols>
    <col min="1" max="1" width="32.3984375" style="17" customWidth="1"/>
    <col min="2" max="2" width="16.09765625" style="17" customWidth="1"/>
    <col min="3" max="3" width="15.19921875" style="17" customWidth="1"/>
    <col min="4" max="7" width="16.09765625" style="17" customWidth="1"/>
    <col min="9" max="9" width="76.59765625" bestFit="1" customWidth="1"/>
  </cols>
  <sheetData>
    <row r="1" spans="1:9" x14ac:dyDescent="0.3">
      <c r="A1" s="5" t="s">
        <v>0</v>
      </c>
      <c r="B1" s="4"/>
      <c r="C1" s="4"/>
      <c r="D1" s="4"/>
      <c r="E1" s="4"/>
      <c r="F1" s="4"/>
      <c r="G1" s="4"/>
    </row>
    <row r="2" spans="1:9" x14ac:dyDescent="0.3">
      <c r="A2" s="3" t="s">
        <v>173</v>
      </c>
      <c r="B2" s="4"/>
      <c r="C2" s="4"/>
      <c r="D2" s="4"/>
      <c r="E2" s="4"/>
      <c r="F2" s="4"/>
      <c r="G2" s="4"/>
    </row>
    <row r="3" spans="1:9" x14ac:dyDescent="0.3">
      <c r="A3" s="2" t="s">
        <v>172</v>
      </c>
      <c r="B3" s="4"/>
      <c r="C3" s="4"/>
      <c r="D3" s="4"/>
      <c r="E3" s="4"/>
      <c r="F3" s="4"/>
      <c r="G3" s="4"/>
    </row>
    <row r="5" spans="1:9" x14ac:dyDescent="0.3">
      <c r="A5" s="18" t="s">
        <v>68</v>
      </c>
      <c r="B5" s="18" t="s">
        <v>69</v>
      </c>
      <c r="C5" s="18" t="s">
        <v>70</v>
      </c>
      <c r="D5" s="18" t="s">
        <v>71</v>
      </c>
      <c r="E5" s="18" t="s">
        <v>72</v>
      </c>
      <c r="F5" s="18" t="s">
        <v>73</v>
      </c>
      <c r="G5" s="18" t="s">
        <v>171</v>
      </c>
    </row>
    <row r="6" spans="1:9" x14ac:dyDescent="0.3">
      <c r="A6" s="6" t="s">
        <v>167</v>
      </c>
      <c r="B6" s="19"/>
      <c r="C6" s="19"/>
      <c r="D6" s="19"/>
      <c r="E6" s="19"/>
      <c r="F6" s="19"/>
    </row>
    <row r="7" spans="1:9" x14ac:dyDescent="0.3">
      <c r="A7" s="7" t="s">
        <v>166</v>
      </c>
      <c r="B7" s="20">
        <v>233.14</v>
      </c>
      <c r="C7" s="20">
        <v>1019.2</v>
      </c>
      <c r="D7" s="20">
        <v>727.51</v>
      </c>
      <c r="E7" s="20">
        <v>734.01</v>
      </c>
      <c r="F7" s="20">
        <v>1157.77</v>
      </c>
      <c r="G7" s="20">
        <f>B7+C7+D7+E7+F7</f>
        <v>3871.63</v>
      </c>
    </row>
    <row r="8" spans="1:9" x14ac:dyDescent="0.3">
      <c r="A8" s="7" t="s">
        <v>165</v>
      </c>
      <c r="B8" s="20">
        <v>1063</v>
      </c>
      <c r="C8" s="20">
        <v>1216.5</v>
      </c>
      <c r="D8" s="20">
        <v>1989.24</v>
      </c>
      <c r="E8" s="20">
        <v>1868.92</v>
      </c>
      <c r="F8" s="20">
        <v>3042.27</v>
      </c>
      <c r="G8" s="20">
        <f>B8+C8+D8+E8+F8</f>
        <v>9179.93</v>
      </c>
    </row>
    <row r="9" spans="1:9" x14ac:dyDescent="0.3">
      <c r="A9" s="7" t="s">
        <v>164</v>
      </c>
      <c r="B9" s="20">
        <v>2025</v>
      </c>
      <c r="C9" s="20">
        <v>675</v>
      </c>
      <c r="D9" s="20">
        <v>2455</v>
      </c>
      <c r="E9" s="20">
        <v>450</v>
      </c>
      <c r="F9" s="20">
        <v>2175</v>
      </c>
      <c r="G9" s="20">
        <f>B9+C9+D9+E9+F9</f>
        <v>7780</v>
      </c>
    </row>
    <row r="10" spans="1:9" x14ac:dyDescent="0.3">
      <c r="A10" s="7" t="s">
        <v>163</v>
      </c>
      <c r="B10" s="19"/>
      <c r="C10" s="19"/>
      <c r="D10" s="19"/>
      <c r="E10" s="20">
        <v>291.95</v>
      </c>
      <c r="F10" s="20">
        <v>583.9</v>
      </c>
      <c r="G10" s="20">
        <f>B10+C10+D10+E10+F10</f>
        <v>875.84999999999991</v>
      </c>
    </row>
    <row r="11" spans="1:9" x14ac:dyDescent="0.3">
      <c r="A11" s="7" t="s">
        <v>162</v>
      </c>
      <c r="B11" s="20">
        <v>38637.19</v>
      </c>
      <c r="C11" s="20">
        <v>39019.839999999997</v>
      </c>
      <c r="D11" s="20">
        <v>42431.31</v>
      </c>
      <c r="E11" s="20">
        <v>43172.76</v>
      </c>
      <c r="F11" s="20">
        <v>41422.67</v>
      </c>
      <c r="G11" s="20">
        <f>B11+C11+D11+E11+F11</f>
        <v>204683.77000000002</v>
      </c>
    </row>
    <row r="12" spans="1:9" x14ac:dyDescent="0.3">
      <c r="A12" s="7" t="s">
        <v>161</v>
      </c>
      <c r="B12" s="20">
        <v>2376</v>
      </c>
      <c r="C12" s="20">
        <v>5376</v>
      </c>
      <c r="D12" s="20">
        <v>5376</v>
      </c>
      <c r="E12" s="19"/>
      <c r="F12" s="20">
        <v>7128</v>
      </c>
      <c r="G12" s="20">
        <f>B12+C12+D12+E12+F12</f>
        <v>20256</v>
      </c>
    </row>
    <row r="13" spans="1:9" x14ac:dyDescent="0.3">
      <c r="A13" s="7" t="s">
        <v>160</v>
      </c>
      <c r="B13" s="20">
        <v>396</v>
      </c>
      <c r="C13" s="20">
        <v>564.66999999999996</v>
      </c>
      <c r="D13" s="20">
        <v>564.66999999999996</v>
      </c>
      <c r="E13" s="20">
        <v>564.66999999999996</v>
      </c>
      <c r="F13" s="19"/>
      <c r="G13" s="20">
        <f>B13+C13+D13+E13+F13</f>
        <v>2090.0099999999998</v>
      </c>
    </row>
    <row r="14" spans="1:9" x14ac:dyDescent="0.3">
      <c r="A14" s="7" t="s">
        <v>159</v>
      </c>
      <c r="B14" s="20">
        <v>-346.28</v>
      </c>
      <c r="C14" s="20">
        <v>-1030.55</v>
      </c>
      <c r="D14" s="20">
        <v>-1063.52</v>
      </c>
      <c r="E14" s="20">
        <v>-896.6</v>
      </c>
      <c r="F14" s="20">
        <v>-537.57000000000005</v>
      </c>
      <c r="G14" s="20">
        <f>B14+C14+D14+E14+F14</f>
        <v>-3874.52</v>
      </c>
    </row>
    <row r="15" spans="1:9" x14ac:dyDescent="0.3">
      <c r="A15" s="7" t="s">
        <v>158</v>
      </c>
      <c r="B15" s="20">
        <v>750</v>
      </c>
      <c r="C15" s="20">
        <v>1750</v>
      </c>
      <c r="D15" s="19"/>
      <c r="E15" s="19"/>
      <c r="F15" s="20">
        <v>3580</v>
      </c>
      <c r="G15" s="20">
        <f>B15+C15+D15+E15+F15</f>
        <v>6080</v>
      </c>
    </row>
    <row r="16" spans="1:9" x14ac:dyDescent="0.3">
      <c r="A16" s="7" t="s">
        <v>157</v>
      </c>
      <c r="B16" s="20">
        <v>8927.2999999999993</v>
      </c>
      <c r="C16" s="20">
        <v>13261.88</v>
      </c>
      <c r="D16" s="20">
        <v>16933.5</v>
      </c>
      <c r="E16" s="20">
        <v>16141.63</v>
      </c>
      <c r="F16" s="20">
        <v>16159.95</v>
      </c>
      <c r="G16" s="20">
        <f>B16+C16+D16+E16+F16</f>
        <v>71424.259999999995</v>
      </c>
      <c r="I16" t="s">
        <v>175</v>
      </c>
    </row>
    <row r="17" spans="1:9" x14ac:dyDescent="0.3">
      <c r="A17" s="7" t="s">
        <v>156</v>
      </c>
      <c r="B17" s="20">
        <v>1127.3800000000001</v>
      </c>
      <c r="C17" s="20">
        <v>1062.51</v>
      </c>
      <c r="D17" s="20">
        <v>1497.18</v>
      </c>
      <c r="E17" s="20">
        <v>1403.08</v>
      </c>
      <c r="F17" s="20">
        <v>1790.35</v>
      </c>
      <c r="G17" s="20">
        <f>B17+C17+D17+E17+F17</f>
        <v>6880.5</v>
      </c>
    </row>
    <row r="18" spans="1:9" x14ac:dyDescent="0.3">
      <c r="A18" s="12" t="s">
        <v>155</v>
      </c>
      <c r="B18" s="21">
        <f>B6+B7+B8+B9+B10+B11+B12+B13+B14+B15+B16+B17</f>
        <v>55188.73</v>
      </c>
      <c r="C18" s="21">
        <f>C6+C7+C8+C9+C10+C11+C12+C13+C14+C15+C16+C17</f>
        <v>62915.049999999988</v>
      </c>
      <c r="D18" s="21">
        <f>D6+D7+D8+D9+D10+D11+D12+D13+D14+D15+D16+D17</f>
        <v>70910.889999999985</v>
      </c>
      <c r="E18" s="21">
        <f>E6+E7+E8+E9+E10+E11+E12+E13+E14+E15+E16+E17</f>
        <v>63730.42</v>
      </c>
      <c r="F18" s="21">
        <f>F6+F7+F8+F9+F10+F11+F12+F13+F14+F15+F16+F17</f>
        <v>76502.340000000011</v>
      </c>
      <c r="G18" s="23">
        <f>B18+C18+D18+E18+F18</f>
        <v>329247.43</v>
      </c>
    </row>
    <row r="19" spans="1:9" x14ac:dyDescent="0.3">
      <c r="A19" s="12" t="s">
        <v>151</v>
      </c>
      <c r="B19" s="21">
        <f>B18-0</f>
        <v>55188.73</v>
      </c>
      <c r="C19" s="21">
        <f>C18-0</f>
        <v>62915.049999999988</v>
      </c>
      <c r="D19" s="21">
        <f>D18-0</f>
        <v>70910.889999999985</v>
      </c>
      <c r="E19" s="21">
        <f>E18-0</f>
        <v>63730.42</v>
      </c>
      <c r="F19" s="21">
        <f>F18-0</f>
        <v>76502.340000000011</v>
      </c>
      <c r="G19" s="23">
        <f>B19+C19+D19+E19+F19</f>
        <v>329247.43</v>
      </c>
    </row>
    <row r="20" spans="1:9" x14ac:dyDescent="0.3">
      <c r="A20" s="6" t="s">
        <v>150</v>
      </c>
      <c r="B20" s="19"/>
      <c r="C20" s="19"/>
      <c r="D20" s="19"/>
      <c r="E20" s="19"/>
      <c r="F20" s="19"/>
    </row>
    <row r="21" spans="1:9" x14ac:dyDescent="0.3">
      <c r="A21" s="7" t="s">
        <v>149</v>
      </c>
      <c r="B21" s="20">
        <v>1670.61</v>
      </c>
      <c r="C21" s="20">
        <v>1660.14</v>
      </c>
      <c r="D21" s="20">
        <v>1670.5</v>
      </c>
      <c r="E21" s="20">
        <v>1713.66</v>
      </c>
      <c r="F21" s="20">
        <v>1651.13</v>
      </c>
      <c r="G21" s="20">
        <f>B21+C21+D21+E21+F21</f>
        <v>8366.0400000000009</v>
      </c>
    </row>
    <row r="22" spans="1:9" x14ac:dyDescent="0.3">
      <c r="A22" s="8" t="s">
        <v>148</v>
      </c>
      <c r="B22" s="20">
        <v>420</v>
      </c>
      <c r="C22" s="20">
        <v>540</v>
      </c>
      <c r="D22" s="20">
        <v>1060</v>
      </c>
      <c r="E22" s="20">
        <v>420</v>
      </c>
      <c r="F22" s="20">
        <v>320</v>
      </c>
      <c r="G22" s="20">
        <f>B22+C22+D22+E22+F22</f>
        <v>2760</v>
      </c>
    </row>
    <row r="23" spans="1:9" x14ac:dyDescent="0.3">
      <c r="A23" s="8" t="s">
        <v>147</v>
      </c>
      <c r="B23" s="20">
        <v>250</v>
      </c>
      <c r="C23" s="20">
        <v>900</v>
      </c>
      <c r="D23" s="20">
        <v>1350</v>
      </c>
      <c r="E23" s="20">
        <v>500</v>
      </c>
      <c r="F23" s="19"/>
      <c r="G23" s="20">
        <f>B23+C23+D23+E23+F23</f>
        <v>3000</v>
      </c>
    </row>
    <row r="24" spans="1:9" x14ac:dyDescent="0.3">
      <c r="A24" s="8" t="s">
        <v>146</v>
      </c>
      <c r="B24" s="20">
        <v>1605.68</v>
      </c>
      <c r="C24" s="20">
        <v>1177.77</v>
      </c>
      <c r="D24" s="20">
        <v>1929.13</v>
      </c>
      <c r="E24" s="20">
        <v>1490.3</v>
      </c>
      <c r="F24" s="20">
        <v>1500.88</v>
      </c>
      <c r="G24" s="20">
        <f>B24+C24+D24+E24+F24</f>
        <v>7703.76</v>
      </c>
    </row>
    <row r="25" spans="1:9" x14ac:dyDescent="0.3">
      <c r="A25" s="11" t="s">
        <v>145</v>
      </c>
      <c r="B25" s="21">
        <f>B21+B22+B23+B24</f>
        <v>3946.29</v>
      </c>
      <c r="C25" s="21">
        <f>C21+C22+C23+C24</f>
        <v>4277.91</v>
      </c>
      <c r="D25" s="21">
        <f>D21+D22+D23+D24</f>
        <v>6009.63</v>
      </c>
      <c r="E25" s="21">
        <f>E21+E22+E23+E24</f>
        <v>4123.96</v>
      </c>
      <c r="F25" s="21">
        <f>F21+F22+F23+F24</f>
        <v>3472.01</v>
      </c>
      <c r="G25" s="23">
        <f>B25+C25+D25+E25+F25</f>
        <v>21829.800000000003</v>
      </c>
    </row>
    <row r="26" spans="1:9" x14ac:dyDescent="0.3">
      <c r="A26" s="7" t="s">
        <v>144</v>
      </c>
      <c r="B26" s="19"/>
      <c r="C26" s="19"/>
      <c r="D26" s="19"/>
      <c r="E26" s="19"/>
      <c r="F26" s="19"/>
      <c r="G26" s="19"/>
    </row>
    <row r="27" spans="1:9" x14ac:dyDescent="0.3">
      <c r="A27" s="8" t="s">
        <v>143</v>
      </c>
      <c r="B27" s="19"/>
      <c r="C27" s="20">
        <v>49.43</v>
      </c>
      <c r="D27" s="19"/>
      <c r="E27" s="20">
        <v>522.20000000000005</v>
      </c>
      <c r="F27" s="20">
        <v>633.26</v>
      </c>
      <c r="G27" s="20">
        <f>B27+C27+D27+E27+F27</f>
        <v>1204.8899999999999</v>
      </c>
      <c r="I27" t="s">
        <v>176</v>
      </c>
    </row>
    <row r="28" spans="1:9" x14ac:dyDescent="0.3">
      <c r="A28" s="8" t="s">
        <v>142</v>
      </c>
      <c r="B28" s="19"/>
      <c r="C28" s="19"/>
      <c r="D28" s="19"/>
      <c r="E28" s="19"/>
      <c r="F28" s="20">
        <v>694</v>
      </c>
      <c r="G28" s="20">
        <f>B28+C28+D28+E28+F28</f>
        <v>694</v>
      </c>
      <c r="I28" t="s">
        <v>177</v>
      </c>
    </row>
    <row r="29" spans="1:9" x14ac:dyDescent="0.3">
      <c r="A29" s="8" t="s">
        <v>141</v>
      </c>
      <c r="B29" s="20">
        <v>982.21</v>
      </c>
      <c r="C29" s="20">
        <v>825.23</v>
      </c>
      <c r="D29" s="20">
        <v>6795</v>
      </c>
      <c r="E29" s="20">
        <v>240</v>
      </c>
      <c r="F29" s="19"/>
      <c r="G29" s="20">
        <f>B29+C29+D29+E29+F29</f>
        <v>8842.44</v>
      </c>
    </row>
    <row r="30" spans="1:9" x14ac:dyDescent="0.3">
      <c r="A30" s="8" t="s">
        <v>140</v>
      </c>
      <c r="B30" s="19"/>
      <c r="C30" s="19"/>
      <c r="D30" s="19"/>
      <c r="E30" s="19"/>
      <c r="F30" s="20">
        <v>200.82</v>
      </c>
      <c r="G30" s="20">
        <f>B30+C30+D30+E30+F30</f>
        <v>200.82</v>
      </c>
      <c r="I30" t="s">
        <v>178</v>
      </c>
    </row>
    <row r="31" spans="1:9" x14ac:dyDescent="0.3">
      <c r="A31" s="11" t="s">
        <v>138</v>
      </c>
      <c r="B31" s="21">
        <f>B26+B27+B28+B29+B30</f>
        <v>982.21</v>
      </c>
      <c r="C31" s="21">
        <f>C26+C27+C28+C29+C30</f>
        <v>874.66</v>
      </c>
      <c r="D31" s="21">
        <f>D26+D27+D28+D29+D30</f>
        <v>6795</v>
      </c>
      <c r="E31" s="21">
        <f>E26+E27+E28+E29+E30</f>
        <v>762.2</v>
      </c>
      <c r="F31" s="21">
        <f>F26+F27+F28+F29+F30</f>
        <v>1528.08</v>
      </c>
      <c r="G31" s="23">
        <f>B31+C31+D31+E31+F31</f>
        <v>10942.15</v>
      </c>
    </row>
    <row r="32" spans="1:9" x14ac:dyDescent="0.3">
      <c r="A32" s="7" t="s">
        <v>137</v>
      </c>
      <c r="B32" s="19"/>
      <c r="C32" s="19"/>
      <c r="D32" s="19"/>
      <c r="E32" s="19"/>
      <c r="F32" s="19"/>
      <c r="G32" s="19"/>
    </row>
    <row r="33" spans="1:9" x14ac:dyDescent="0.3">
      <c r="A33" s="8" t="s">
        <v>136</v>
      </c>
      <c r="B33" s="20">
        <v>825</v>
      </c>
      <c r="C33" s="20">
        <v>825</v>
      </c>
      <c r="D33" s="20">
        <v>825</v>
      </c>
      <c r="E33" s="20">
        <v>1827.11</v>
      </c>
      <c r="F33" s="20">
        <v>825</v>
      </c>
      <c r="G33" s="20">
        <f>B33+C33+D33+E33+F33</f>
        <v>5127.1099999999997</v>
      </c>
    </row>
    <row r="34" spans="1:9" x14ac:dyDescent="0.3">
      <c r="A34" s="8" t="s">
        <v>135</v>
      </c>
      <c r="B34" s="19"/>
      <c r="C34" s="19"/>
      <c r="D34" s="19"/>
      <c r="E34" s="19"/>
      <c r="F34" s="19"/>
      <c r="G34" s="19"/>
    </row>
    <row r="35" spans="1:9" x14ac:dyDescent="0.3">
      <c r="A35" s="9" t="s">
        <v>134</v>
      </c>
      <c r="B35" s="20">
        <v>76.819999999999993</v>
      </c>
      <c r="C35" s="20">
        <v>73.73</v>
      </c>
      <c r="D35" s="20">
        <v>127.13</v>
      </c>
      <c r="E35" s="20">
        <v>122.92</v>
      </c>
      <c r="F35" s="20">
        <v>156.69999999999999</v>
      </c>
      <c r="G35" s="20">
        <f>B35+C35+D35+E35+F35</f>
        <v>557.29999999999995</v>
      </c>
    </row>
    <row r="36" spans="1:9" x14ac:dyDescent="0.3">
      <c r="A36" s="9" t="s">
        <v>133</v>
      </c>
      <c r="B36" s="20">
        <v>15.1</v>
      </c>
      <c r="C36" s="20">
        <v>40.22</v>
      </c>
      <c r="D36" s="20">
        <v>26.2</v>
      </c>
      <c r="E36" s="20">
        <v>16.3</v>
      </c>
      <c r="F36" s="20">
        <v>8.75</v>
      </c>
      <c r="G36" s="20">
        <f>B36+C36+D36+E36+F36</f>
        <v>106.57</v>
      </c>
    </row>
    <row r="37" spans="1:9" x14ac:dyDescent="0.3">
      <c r="A37" s="10" t="s">
        <v>132</v>
      </c>
      <c r="B37" s="21">
        <f>B34+B35+B36</f>
        <v>91.919999999999987</v>
      </c>
      <c r="C37" s="21">
        <f>C34+C35+C36</f>
        <v>113.95</v>
      </c>
      <c r="D37" s="21">
        <f>D34+D35+D36</f>
        <v>153.32999999999998</v>
      </c>
      <c r="E37" s="21">
        <f>E34+E35+E36</f>
        <v>139.22</v>
      </c>
      <c r="F37" s="21">
        <f>F34+F35+F36</f>
        <v>165.45</v>
      </c>
      <c r="G37" s="23">
        <f>B37+C37+D37+E37+F37</f>
        <v>663.86999999999989</v>
      </c>
    </row>
    <row r="38" spans="1:9" x14ac:dyDescent="0.3">
      <c r="A38" s="8" t="s">
        <v>131</v>
      </c>
      <c r="B38" s="19"/>
      <c r="C38" s="19"/>
      <c r="D38" s="20">
        <v>307.05</v>
      </c>
      <c r="E38" s="19"/>
      <c r="F38" s="19"/>
      <c r="G38" s="20">
        <f>B38+C38+D38+E38+F38</f>
        <v>307.05</v>
      </c>
    </row>
    <row r="39" spans="1:9" x14ac:dyDescent="0.3">
      <c r="A39" s="8" t="s">
        <v>130</v>
      </c>
      <c r="B39" s="20">
        <v>966.41</v>
      </c>
      <c r="C39" s="20">
        <v>966.41</v>
      </c>
      <c r="D39" s="19"/>
      <c r="E39" s="19"/>
      <c r="F39" s="19"/>
      <c r="G39" s="20">
        <f>B39+C39+D39+E39+F39</f>
        <v>1932.82</v>
      </c>
    </row>
    <row r="40" spans="1:9" x14ac:dyDescent="0.3">
      <c r="A40" s="8" t="s">
        <v>129</v>
      </c>
      <c r="B40" s="20">
        <v>1180.5999999999999</v>
      </c>
      <c r="C40" s="19"/>
      <c r="D40" s="20">
        <v>219.5</v>
      </c>
      <c r="E40" s="19"/>
      <c r="F40" s="19"/>
      <c r="G40" s="20">
        <f>B40+C40+D40+E40+F40</f>
        <v>1400.1</v>
      </c>
    </row>
    <row r="41" spans="1:9" x14ac:dyDescent="0.3">
      <c r="A41" s="8" t="s">
        <v>128</v>
      </c>
      <c r="B41" s="20">
        <v>863.14</v>
      </c>
      <c r="C41" s="20">
        <v>863.14</v>
      </c>
      <c r="D41" s="20">
        <v>863.14</v>
      </c>
      <c r="E41" s="20">
        <v>863.14</v>
      </c>
      <c r="F41" s="20">
        <v>863.14</v>
      </c>
      <c r="G41" s="20">
        <f>B41+C41+D41+E41+F41</f>
        <v>4315.7</v>
      </c>
    </row>
    <row r="42" spans="1:9" x14ac:dyDescent="0.3">
      <c r="A42" s="8" t="s">
        <v>127</v>
      </c>
      <c r="B42" s="19"/>
      <c r="C42" s="19"/>
      <c r="D42" s="20">
        <v>14</v>
      </c>
      <c r="E42" s="19"/>
      <c r="F42" s="19"/>
      <c r="G42" s="20">
        <f>B42+C42+D42+E42+F42</f>
        <v>14</v>
      </c>
    </row>
    <row r="43" spans="1:9" x14ac:dyDescent="0.3">
      <c r="A43" s="9" t="s">
        <v>126</v>
      </c>
      <c r="B43" s="19"/>
      <c r="C43" s="20">
        <v>4482.62</v>
      </c>
      <c r="D43" s="19"/>
      <c r="E43" s="20">
        <v>151.41</v>
      </c>
      <c r="F43" s="20">
        <v>594.65</v>
      </c>
      <c r="G43" s="20">
        <f>B43+C43+D43+E43+F43</f>
        <v>5228.6799999999994</v>
      </c>
      <c r="I43" t="s">
        <v>179</v>
      </c>
    </row>
    <row r="44" spans="1:9" x14ac:dyDescent="0.3">
      <c r="A44" s="10" t="s">
        <v>125</v>
      </c>
      <c r="B44" s="23">
        <f>B42+B43</f>
        <v>0</v>
      </c>
      <c r="C44" s="21">
        <f>C42+C43</f>
        <v>4482.62</v>
      </c>
      <c r="D44" s="21">
        <f>D42+D43</f>
        <v>14</v>
      </c>
      <c r="E44" s="21">
        <f>E42+E43</f>
        <v>151.41</v>
      </c>
      <c r="F44" s="21">
        <f>F42+F43</f>
        <v>594.65</v>
      </c>
      <c r="G44" s="23">
        <f>B44+C44+D44+E44+F44</f>
        <v>5242.6799999999994</v>
      </c>
    </row>
    <row r="45" spans="1:9" x14ac:dyDescent="0.3">
      <c r="A45" s="8" t="s">
        <v>124</v>
      </c>
      <c r="B45" s="20">
        <v>1271.3599999999999</v>
      </c>
      <c r="C45" s="20">
        <v>1287.76</v>
      </c>
      <c r="D45" s="20">
        <v>1761.06</v>
      </c>
      <c r="E45" s="20">
        <v>1254.6199999999999</v>
      </c>
      <c r="F45" s="20">
        <v>1298.45</v>
      </c>
      <c r="G45" s="20">
        <f>B45+C45+D45+E45+F45</f>
        <v>6873.25</v>
      </c>
    </row>
    <row r="46" spans="1:9" x14ac:dyDescent="0.3">
      <c r="A46" s="8" t="s">
        <v>123</v>
      </c>
      <c r="B46" s="20">
        <v>150</v>
      </c>
      <c r="C46" s="20">
        <v>150</v>
      </c>
      <c r="D46" s="20">
        <v>479.25</v>
      </c>
      <c r="E46" s="20">
        <v>150</v>
      </c>
      <c r="F46" s="20">
        <v>150</v>
      </c>
      <c r="G46" s="20">
        <f>B46+C46+D46+E46+F46</f>
        <v>1079.25</v>
      </c>
    </row>
    <row r="47" spans="1:9" x14ac:dyDescent="0.3">
      <c r="A47" s="9" t="s">
        <v>122</v>
      </c>
      <c r="B47" s="20">
        <v>114.99</v>
      </c>
      <c r="C47" s="19"/>
      <c r="D47" s="19"/>
      <c r="E47" s="19"/>
      <c r="F47" s="19"/>
      <c r="G47" s="20">
        <f>B47+C47+D47+E47+F47</f>
        <v>114.99</v>
      </c>
    </row>
    <row r="48" spans="1:9" x14ac:dyDescent="0.3">
      <c r="A48" s="9" t="s">
        <v>120</v>
      </c>
      <c r="B48" s="20">
        <v>436.59</v>
      </c>
      <c r="C48" s="20">
        <v>72.39</v>
      </c>
      <c r="D48" s="20">
        <v>522.25</v>
      </c>
      <c r="E48" s="20">
        <v>94.34</v>
      </c>
      <c r="F48" s="20">
        <v>55.93</v>
      </c>
      <c r="G48" s="20">
        <f>B48+C48+D48+E48+F48</f>
        <v>1181.5</v>
      </c>
    </row>
    <row r="49" spans="1:7" x14ac:dyDescent="0.3">
      <c r="A49" s="10" t="s">
        <v>119</v>
      </c>
      <c r="B49" s="21">
        <f>B46+B47+B48</f>
        <v>701.57999999999993</v>
      </c>
      <c r="C49" s="21">
        <f>C46+C47+C48</f>
        <v>222.39</v>
      </c>
      <c r="D49" s="21">
        <f>D46+D47+D48</f>
        <v>1001.5</v>
      </c>
      <c r="E49" s="21">
        <f>E46+E47+E48</f>
        <v>244.34</v>
      </c>
      <c r="F49" s="21">
        <f>F46+F47+F48</f>
        <v>205.93</v>
      </c>
      <c r="G49" s="23">
        <f>B49+C49+D49+E49+F49</f>
        <v>2375.7399999999998</v>
      </c>
    </row>
    <row r="50" spans="1:7" x14ac:dyDescent="0.3">
      <c r="A50" s="8" t="s">
        <v>118</v>
      </c>
      <c r="B50" s="20">
        <v>13333</v>
      </c>
      <c r="C50" s="20">
        <v>13333</v>
      </c>
      <c r="D50" s="20">
        <v>13333</v>
      </c>
      <c r="E50" s="20">
        <v>13333</v>
      </c>
      <c r="F50" s="20">
        <v>13333</v>
      </c>
      <c r="G50" s="20">
        <f>B50+C50+D50+E50+F50</f>
        <v>66665</v>
      </c>
    </row>
    <row r="51" spans="1:7" x14ac:dyDescent="0.3">
      <c r="A51" s="9" t="s">
        <v>117</v>
      </c>
      <c r="B51" s="20">
        <v>155.79</v>
      </c>
      <c r="C51" s="20">
        <v>155.79</v>
      </c>
      <c r="D51" s="20">
        <v>155.79</v>
      </c>
      <c r="E51" s="20">
        <v>155.79</v>
      </c>
      <c r="F51" s="20">
        <v>155.79</v>
      </c>
      <c r="G51" s="20">
        <f>B51+C51+D51+E51+F51</f>
        <v>778.94999999999993</v>
      </c>
    </row>
    <row r="52" spans="1:7" x14ac:dyDescent="0.3">
      <c r="A52" s="10" t="s">
        <v>116</v>
      </c>
      <c r="B52" s="21">
        <f>B50+B51</f>
        <v>13488.79</v>
      </c>
      <c r="C52" s="21">
        <f>C50+C51</f>
        <v>13488.79</v>
      </c>
      <c r="D52" s="21">
        <f>D50+D51</f>
        <v>13488.79</v>
      </c>
      <c r="E52" s="21">
        <f>E50+E51</f>
        <v>13488.79</v>
      </c>
      <c r="F52" s="21">
        <f>F50+F51</f>
        <v>13488.79</v>
      </c>
      <c r="G52" s="23">
        <f>B52+C52+D52+E52+F52</f>
        <v>67443.950000000012</v>
      </c>
    </row>
    <row r="53" spans="1:7" x14ac:dyDescent="0.3">
      <c r="A53" s="8" t="s">
        <v>115</v>
      </c>
      <c r="B53" s="20">
        <v>1108.29</v>
      </c>
      <c r="C53" s="19"/>
      <c r="D53" s="20">
        <v>300</v>
      </c>
      <c r="E53" s="20">
        <v>2449.66</v>
      </c>
      <c r="F53" s="20">
        <v>575</v>
      </c>
      <c r="G53" s="20">
        <f>B53+C53+D53+E53+F53</f>
        <v>4432.95</v>
      </c>
    </row>
    <row r="54" spans="1:7" x14ac:dyDescent="0.3">
      <c r="A54" s="8" t="s">
        <v>114</v>
      </c>
      <c r="B54" s="19"/>
      <c r="C54" s="19"/>
      <c r="D54" s="19"/>
      <c r="E54" s="20">
        <v>322</v>
      </c>
      <c r="F54" s="19"/>
      <c r="G54" s="20">
        <f>B54+C54+D54+E54+F54</f>
        <v>322</v>
      </c>
    </row>
    <row r="55" spans="1:7" x14ac:dyDescent="0.3">
      <c r="A55" s="8" t="s">
        <v>113</v>
      </c>
      <c r="B55" s="19"/>
      <c r="C55" s="19"/>
      <c r="D55" s="19"/>
      <c r="E55" s="19"/>
      <c r="F55" s="19"/>
      <c r="G55" s="19"/>
    </row>
    <row r="56" spans="1:7" x14ac:dyDescent="0.3">
      <c r="A56" s="9" t="s">
        <v>112</v>
      </c>
      <c r="B56" s="20">
        <v>297.88</v>
      </c>
      <c r="C56" s="20">
        <v>297.88</v>
      </c>
      <c r="D56" s="20">
        <v>297.52</v>
      </c>
      <c r="E56" s="20">
        <v>297.5</v>
      </c>
      <c r="F56" s="20">
        <v>297.5</v>
      </c>
      <c r="G56" s="20">
        <f>B56+C56+D56+E56+F56</f>
        <v>1488.28</v>
      </c>
    </row>
    <row r="57" spans="1:7" x14ac:dyDescent="0.3">
      <c r="A57" s="10" t="s">
        <v>111</v>
      </c>
      <c r="B57" s="21">
        <f>B55+B56</f>
        <v>297.88</v>
      </c>
      <c r="C57" s="21">
        <f>C55+C56</f>
        <v>297.88</v>
      </c>
      <c r="D57" s="21">
        <f>D55+D56</f>
        <v>297.52</v>
      </c>
      <c r="E57" s="21">
        <f>E55+E56</f>
        <v>297.5</v>
      </c>
      <c r="F57" s="21">
        <f>F55+F56</f>
        <v>297.5</v>
      </c>
      <c r="G57" s="23">
        <f>B57+C57+D57+E57+F57</f>
        <v>1488.28</v>
      </c>
    </row>
    <row r="58" spans="1:7" x14ac:dyDescent="0.3">
      <c r="A58" s="11" t="s">
        <v>110</v>
      </c>
      <c r="B58" s="21">
        <f>B32+B33+B37+B38+B39+B40+B41+B44+B45+B49+B52+B53+B54+B57</f>
        <v>20794.97</v>
      </c>
      <c r="C58" s="21">
        <f>C32+C33+C37+C38+C39+C40+C41+C44+C45+C49+C52+C53+C54+C57</f>
        <v>22547.94</v>
      </c>
      <c r="D58" s="21">
        <f>D32+D33+D37+D38+D39+D40+D41+D44+D45+D49+D52+D53+D54+D57</f>
        <v>19230.890000000003</v>
      </c>
      <c r="E58" s="21">
        <f>E32+E33+E37+E38+E39+E40+E41+E44+E45+E49+E52+E53+E54+E57</f>
        <v>21037.79</v>
      </c>
      <c r="F58" s="21">
        <f>F32+F33+F37+F38+F39+F40+F41+F44+F45+F49+F52+F53+F54+F57</f>
        <v>18313.91</v>
      </c>
      <c r="G58" s="23">
        <f>B58+C58+D58+E58+F58</f>
        <v>101925.5</v>
      </c>
    </row>
    <row r="59" spans="1:7" x14ac:dyDescent="0.3">
      <c r="A59" s="7" t="s">
        <v>106</v>
      </c>
      <c r="B59" s="19"/>
      <c r="C59" s="19"/>
      <c r="D59" s="19"/>
      <c r="E59" s="19"/>
      <c r="F59" s="19"/>
      <c r="G59" s="19"/>
    </row>
    <row r="60" spans="1:7" x14ac:dyDescent="0.3">
      <c r="A60" s="8" t="s">
        <v>105</v>
      </c>
      <c r="B60" s="20">
        <v>2675</v>
      </c>
      <c r="C60" s="20">
        <v>1799</v>
      </c>
      <c r="D60" s="20">
        <v>1950</v>
      </c>
      <c r="E60" s="20">
        <v>1458.5</v>
      </c>
      <c r="F60" s="20">
        <v>2121</v>
      </c>
      <c r="G60" s="20">
        <f>B60+C60+D60+E60+F60</f>
        <v>10003.5</v>
      </c>
    </row>
    <row r="61" spans="1:7" x14ac:dyDescent="0.3">
      <c r="A61" s="8" t="s">
        <v>104</v>
      </c>
      <c r="B61" s="20">
        <v>4952.5</v>
      </c>
      <c r="C61" s="20">
        <v>5765</v>
      </c>
      <c r="D61" s="20">
        <v>7632.5</v>
      </c>
      <c r="E61" s="20">
        <v>7200</v>
      </c>
      <c r="F61" s="20">
        <v>4907.5</v>
      </c>
      <c r="G61" s="20">
        <f>B61+C61+D61+E61+F61</f>
        <v>30457.5</v>
      </c>
    </row>
    <row r="62" spans="1:7" x14ac:dyDescent="0.3">
      <c r="A62" s="8" t="s">
        <v>103</v>
      </c>
      <c r="B62" s="20">
        <v>2047.2</v>
      </c>
      <c r="C62" s="20">
        <v>2557.1999999999998</v>
      </c>
      <c r="D62" s="20">
        <v>2209.3000000000002</v>
      </c>
      <c r="E62" s="20">
        <v>2018.95</v>
      </c>
      <c r="F62" s="20">
        <v>1505.72</v>
      </c>
      <c r="G62" s="20">
        <f>B62+C62+D62+E62+F62</f>
        <v>10338.369999999999</v>
      </c>
    </row>
    <row r="63" spans="1:7" x14ac:dyDescent="0.3">
      <c r="A63" s="8" t="s">
        <v>102</v>
      </c>
      <c r="B63" s="20">
        <v>1000</v>
      </c>
      <c r="C63" s="20">
        <v>1000</v>
      </c>
      <c r="D63" s="20">
        <v>1000</v>
      </c>
      <c r="E63" s="20">
        <v>1000</v>
      </c>
      <c r="F63" s="20">
        <v>1000</v>
      </c>
      <c r="G63" s="20">
        <f>B63+C63+D63+E63+F63</f>
        <v>5000</v>
      </c>
    </row>
    <row r="64" spans="1:7" x14ac:dyDescent="0.3">
      <c r="A64" s="8" t="s">
        <v>101</v>
      </c>
      <c r="B64" s="20">
        <v>1175</v>
      </c>
      <c r="C64" s="20">
        <v>867.5</v>
      </c>
      <c r="D64" s="20">
        <v>1180</v>
      </c>
      <c r="E64" s="20">
        <v>870</v>
      </c>
      <c r="F64" s="20">
        <v>1295</v>
      </c>
      <c r="G64" s="20">
        <f>B64+C64+D64+E64+F64</f>
        <v>5387.5</v>
      </c>
    </row>
    <row r="65" spans="1:7" x14ac:dyDescent="0.3">
      <c r="A65" s="8" t="s">
        <v>100</v>
      </c>
      <c r="B65" s="20">
        <v>4100.8</v>
      </c>
      <c r="C65" s="20">
        <v>3982.4</v>
      </c>
      <c r="D65" s="20">
        <v>3388</v>
      </c>
      <c r="E65" s="20">
        <v>3646.4</v>
      </c>
      <c r="F65" s="20">
        <v>3521.6</v>
      </c>
      <c r="G65" s="20">
        <f>B65+C65+D65+E65+F65</f>
        <v>18639.2</v>
      </c>
    </row>
    <row r="66" spans="1:7" x14ac:dyDescent="0.3">
      <c r="A66" s="8" t="s">
        <v>99</v>
      </c>
      <c r="B66" s="20">
        <v>259.37</v>
      </c>
      <c r="C66" s="20">
        <v>60.37</v>
      </c>
      <c r="D66" s="20">
        <v>198.66</v>
      </c>
      <c r="E66" s="20">
        <v>192.07</v>
      </c>
      <c r="F66" s="20">
        <v>185.49</v>
      </c>
      <c r="G66" s="20">
        <f>B66+C66+D66+E66+F66</f>
        <v>895.96</v>
      </c>
    </row>
    <row r="67" spans="1:7" x14ac:dyDescent="0.3">
      <c r="A67" s="8" t="s">
        <v>98</v>
      </c>
      <c r="B67" s="20">
        <v>623.03</v>
      </c>
      <c r="C67" s="20">
        <v>550.46</v>
      </c>
      <c r="D67" s="20">
        <v>546.26</v>
      </c>
      <c r="E67" s="20">
        <v>746.65</v>
      </c>
      <c r="F67" s="20">
        <v>1047.1099999999999</v>
      </c>
      <c r="G67" s="20">
        <f>B67+C67+D67+E67+F67</f>
        <v>3513.51</v>
      </c>
    </row>
    <row r="68" spans="1:7" x14ac:dyDescent="0.3">
      <c r="A68" s="8" t="s">
        <v>96</v>
      </c>
      <c r="B68" s="20">
        <v>4583.34</v>
      </c>
      <c r="C68" s="20">
        <v>4583.34</v>
      </c>
      <c r="D68" s="20">
        <v>4583.34</v>
      </c>
      <c r="E68" s="20">
        <v>7450</v>
      </c>
      <c r="F68" s="20">
        <v>8750.01</v>
      </c>
      <c r="G68" s="20">
        <f>B68+C68+D68+E68+F68</f>
        <v>29950.03</v>
      </c>
    </row>
    <row r="69" spans="1:7" x14ac:dyDescent="0.3">
      <c r="A69" s="8" t="s">
        <v>95</v>
      </c>
      <c r="B69" s="20">
        <v>250</v>
      </c>
      <c r="C69" s="20">
        <v>250</v>
      </c>
      <c r="D69" s="20">
        <v>250</v>
      </c>
      <c r="E69" s="20">
        <v>250</v>
      </c>
      <c r="F69" s="20">
        <v>250</v>
      </c>
      <c r="G69" s="20">
        <f>B69+C69+D69+E69+F69</f>
        <v>1250</v>
      </c>
    </row>
    <row r="70" spans="1:7" x14ac:dyDescent="0.3">
      <c r="A70" s="8" t="s">
        <v>94</v>
      </c>
      <c r="B70" s="19"/>
      <c r="C70" s="19"/>
      <c r="D70" s="19"/>
      <c r="E70" s="20">
        <v>248</v>
      </c>
      <c r="F70" s="20">
        <v>223</v>
      </c>
      <c r="G70" s="20">
        <f>B70+C70+D70+E70+F70</f>
        <v>471</v>
      </c>
    </row>
    <row r="71" spans="1:7" x14ac:dyDescent="0.3">
      <c r="A71" s="11" t="s">
        <v>93</v>
      </c>
      <c r="B71" s="21">
        <f>B59+B60+B61+B62+B63+B64+B65+B66+B67+B68+B69+B70</f>
        <v>21666.240000000002</v>
      </c>
      <c r="C71" s="21">
        <f>C59+C60+C61+C62+C63+C64+C65+C66+C67+C68+C69+C70</f>
        <v>21415.27</v>
      </c>
      <c r="D71" s="21">
        <f>D59+D60+D61+D62+D63+D64+D65+D66+D67+D68+D69+D70</f>
        <v>22938.059999999998</v>
      </c>
      <c r="E71" s="21">
        <f>E59+E60+E61+E62+E63+E64+E65+E66+E67+E68+E69+E70</f>
        <v>25080.570000000003</v>
      </c>
      <c r="F71" s="21">
        <f>F59+F60+F61+F62+F63+F64+F65+F66+F67+F68+F69+F70</f>
        <v>24806.43</v>
      </c>
      <c r="G71" s="23">
        <f>B71+C71+D71+E71+F71</f>
        <v>115906.57</v>
      </c>
    </row>
    <row r="72" spans="1:7" x14ac:dyDescent="0.3">
      <c r="A72" s="7" t="s">
        <v>92</v>
      </c>
      <c r="B72" s="19"/>
      <c r="C72" s="19"/>
      <c r="D72" s="19"/>
      <c r="E72" s="19"/>
      <c r="F72" s="19"/>
      <c r="G72" s="19"/>
    </row>
    <row r="73" spans="1:7" x14ac:dyDescent="0.3">
      <c r="A73" s="8" t="s">
        <v>91</v>
      </c>
      <c r="B73" s="19"/>
      <c r="C73" s="20">
        <v>881.75</v>
      </c>
      <c r="D73" s="20">
        <v>13.13</v>
      </c>
      <c r="E73" s="19"/>
      <c r="F73" s="20">
        <v>1310.55</v>
      </c>
      <c r="G73" s="20">
        <f>B73+C73+D73+E73+F73</f>
        <v>2205.4299999999998</v>
      </c>
    </row>
    <row r="74" spans="1:7" x14ac:dyDescent="0.3">
      <c r="A74" s="8" t="s">
        <v>90</v>
      </c>
      <c r="B74" s="20">
        <v>1917.19</v>
      </c>
      <c r="C74" s="20">
        <v>1373.9</v>
      </c>
      <c r="D74" s="20">
        <v>1865.34</v>
      </c>
      <c r="E74" s="20">
        <v>823.82</v>
      </c>
      <c r="F74" s="20">
        <v>592.91</v>
      </c>
      <c r="G74" s="20">
        <f>B74+C74+D74+E74+F74</f>
        <v>6573.16</v>
      </c>
    </row>
    <row r="75" spans="1:7" x14ac:dyDescent="0.3">
      <c r="A75" s="8" t="s">
        <v>89</v>
      </c>
      <c r="B75" s="20">
        <v>713.5</v>
      </c>
      <c r="C75" s="20">
        <v>1659.96</v>
      </c>
      <c r="D75" s="20">
        <v>349.94</v>
      </c>
      <c r="E75" s="20">
        <v>1368.54</v>
      </c>
      <c r="F75" s="20">
        <v>1164.6199999999999</v>
      </c>
      <c r="G75" s="20">
        <f>B75+C75+D75+E75+F75</f>
        <v>5256.5599999999995</v>
      </c>
    </row>
    <row r="76" spans="1:7" x14ac:dyDescent="0.3">
      <c r="A76" s="11" t="s">
        <v>88</v>
      </c>
      <c r="B76" s="21">
        <f>B72+B73+B74+B75</f>
        <v>2630.69</v>
      </c>
      <c r="C76" s="21">
        <f>C72+C73+C74+C75</f>
        <v>3915.61</v>
      </c>
      <c r="D76" s="21">
        <f>D72+D73+D74+D75</f>
        <v>2228.41</v>
      </c>
      <c r="E76" s="21">
        <f>E72+E73+E74+E75</f>
        <v>2192.36</v>
      </c>
      <c r="F76" s="21">
        <f>F72+F73+F74+F75</f>
        <v>3068.08</v>
      </c>
      <c r="G76" s="23">
        <f>B76+C76+D76+E76+F76</f>
        <v>14035.15</v>
      </c>
    </row>
    <row r="77" spans="1:7" x14ac:dyDescent="0.3">
      <c r="A77" s="7" t="s">
        <v>87</v>
      </c>
      <c r="B77" s="19"/>
      <c r="C77" s="19"/>
      <c r="D77" s="19"/>
      <c r="E77" s="19"/>
      <c r="F77" s="20">
        <v>81.150000000000006</v>
      </c>
      <c r="G77" s="20">
        <f>B77+C77+D77+E77+F77</f>
        <v>81.150000000000006</v>
      </c>
    </row>
    <row r="78" spans="1:7" x14ac:dyDescent="0.3">
      <c r="A78" s="12" t="s">
        <v>86</v>
      </c>
      <c r="B78" s="21">
        <f>B20+B25+B31+B58+B71+B76+B77</f>
        <v>50020.400000000009</v>
      </c>
      <c r="C78" s="21">
        <f>C20+C25+C31+C58+C71+C76+C77</f>
        <v>53031.39</v>
      </c>
      <c r="D78" s="21">
        <f>D20+D25+D31+D58+D71+D76+D77</f>
        <v>57201.990000000005</v>
      </c>
      <c r="E78" s="21">
        <f>E20+E25+E31+E58+E71+E76+E77</f>
        <v>53196.880000000005</v>
      </c>
      <c r="F78" s="21">
        <f>F20+F25+F31+F58+F71+F76+F77</f>
        <v>51269.66</v>
      </c>
      <c r="G78" s="23">
        <f>B78+C78+D78+E78+F78</f>
        <v>264720.32000000007</v>
      </c>
    </row>
    <row r="79" spans="1:7" x14ac:dyDescent="0.3">
      <c r="A79" s="12" t="s">
        <v>85</v>
      </c>
      <c r="B79" s="21">
        <f>B19-B78</f>
        <v>5168.3299999999945</v>
      </c>
      <c r="C79" s="21">
        <f>C19-C78</f>
        <v>9883.6599999999889</v>
      </c>
      <c r="D79" s="21">
        <f>D19-D78</f>
        <v>13708.89999999998</v>
      </c>
      <c r="E79" s="21">
        <f>E19-E78</f>
        <v>10533.539999999994</v>
      </c>
      <c r="F79" s="27">
        <f>F19-F78</f>
        <v>25232.680000000008</v>
      </c>
      <c r="G79" s="23">
        <f>B79+C79+D79+E79+F79</f>
        <v>64527.109999999964</v>
      </c>
    </row>
    <row r="80" spans="1:7" x14ac:dyDescent="0.3">
      <c r="A80" s="6" t="s">
        <v>84</v>
      </c>
      <c r="B80" s="19"/>
      <c r="C80" s="19"/>
      <c r="D80" s="19"/>
      <c r="E80" s="19"/>
      <c r="F80" s="19"/>
    </row>
    <row r="81" spans="1:7" x14ac:dyDescent="0.3">
      <c r="A81" s="7" t="s">
        <v>83</v>
      </c>
      <c r="B81" s="20">
        <v>232.28</v>
      </c>
      <c r="C81" s="20">
        <v>244.44</v>
      </c>
      <c r="D81" s="20">
        <v>292.3</v>
      </c>
      <c r="E81" s="20">
        <v>307.54000000000002</v>
      </c>
      <c r="F81" s="20">
        <v>326.89</v>
      </c>
      <c r="G81" s="20">
        <f>B81+C81+D81+E81+F81</f>
        <v>1403.4499999999998</v>
      </c>
    </row>
    <row r="82" spans="1:7" x14ac:dyDescent="0.3">
      <c r="A82" s="12" t="s">
        <v>82</v>
      </c>
      <c r="B82" s="21">
        <f>B80+B81</f>
        <v>232.28</v>
      </c>
      <c r="C82" s="21">
        <f>C80+C81</f>
        <v>244.44</v>
      </c>
      <c r="D82" s="21">
        <f>D80+D81</f>
        <v>292.3</v>
      </c>
      <c r="E82" s="21">
        <f>E80+E81</f>
        <v>307.54000000000002</v>
      </c>
      <c r="F82" s="21">
        <f>F80+F81</f>
        <v>326.89</v>
      </c>
      <c r="G82" s="23">
        <f>B82+C82+D82+E82+F82</f>
        <v>1403.4499999999998</v>
      </c>
    </row>
    <row r="83" spans="1:7" x14ac:dyDescent="0.3">
      <c r="A83" s="6" t="s">
        <v>81</v>
      </c>
      <c r="B83" s="19"/>
      <c r="C83" s="19"/>
      <c r="D83" s="19"/>
      <c r="E83" s="19"/>
      <c r="F83" s="19"/>
    </row>
    <row r="84" spans="1:7" x14ac:dyDescent="0.3">
      <c r="A84" s="7" t="s">
        <v>80</v>
      </c>
      <c r="B84" s="20">
        <v>4560.8999999999996</v>
      </c>
      <c r="C84" s="20">
        <v>4546.5</v>
      </c>
      <c r="D84" s="20">
        <v>4093.44</v>
      </c>
      <c r="E84" s="20">
        <v>4435.09</v>
      </c>
      <c r="F84" s="20">
        <v>4435.09</v>
      </c>
      <c r="G84" s="20">
        <f>B84+C84+D84+E84+F84</f>
        <v>22071.02</v>
      </c>
    </row>
    <row r="85" spans="1:7" x14ac:dyDescent="0.3">
      <c r="A85" s="7" t="s">
        <v>79</v>
      </c>
      <c r="B85" s="19"/>
      <c r="C85" s="19"/>
      <c r="D85" s="19"/>
      <c r="E85" s="19"/>
      <c r="F85" s="19"/>
      <c r="G85" s="19"/>
    </row>
    <row r="86" spans="1:7" x14ac:dyDescent="0.3">
      <c r="A86" s="8" t="s">
        <v>78</v>
      </c>
      <c r="B86" s="19"/>
      <c r="C86" s="20">
        <v>33.99</v>
      </c>
      <c r="D86" s="19"/>
      <c r="E86" s="19"/>
      <c r="F86" s="20">
        <v>46.5</v>
      </c>
      <c r="G86" s="20">
        <f>B86+C86+D86+E86+F86</f>
        <v>80.490000000000009</v>
      </c>
    </row>
    <row r="87" spans="1:7" x14ac:dyDescent="0.3">
      <c r="A87" s="11" t="s">
        <v>77</v>
      </c>
      <c r="B87" s="23">
        <f>B85+B86</f>
        <v>0</v>
      </c>
      <c r="C87" s="21">
        <f>C85+C86</f>
        <v>33.99</v>
      </c>
      <c r="D87" s="23">
        <f>D85+D86</f>
        <v>0</v>
      </c>
      <c r="E87" s="23">
        <f>E85+E86</f>
        <v>0</v>
      </c>
      <c r="F87" s="21">
        <f>F85+F86</f>
        <v>46.5</v>
      </c>
      <c r="G87" s="23">
        <f>B87+C87+D87+E87+F87</f>
        <v>80.490000000000009</v>
      </c>
    </row>
    <row r="88" spans="1:7" x14ac:dyDescent="0.3">
      <c r="A88" s="12" t="s">
        <v>76</v>
      </c>
      <c r="B88" s="21">
        <f>B83+B84+B87</f>
        <v>4560.8999999999996</v>
      </c>
      <c r="C88" s="21">
        <f>C83+C84+C87</f>
        <v>4580.49</v>
      </c>
      <c r="D88" s="21">
        <f>D83+D84+D87</f>
        <v>4093.44</v>
      </c>
      <c r="E88" s="21">
        <f>E83+E84+E87</f>
        <v>4435.09</v>
      </c>
      <c r="F88" s="21">
        <f>F83+F84+F87</f>
        <v>4481.59</v>
      </c>
      <c r="G88" s="23">
        <f>B88+C88+D88+E88+F88</f>
        <v>22151.51</v>
      </c>
    </row>
    <row r="89" spans="1:7" x14ac:dyDescent="0.3">
      <c r="A89" s="12" t="s">
        <v>75</v>
      </c>
      <c r="B89" s="21">
        <f>B82-B88</f>
        <v>-4328.62</v>
      </c>
      <c r="C89" s="21">
        <f>C82-C88</f>
        <v>-4336.05</v>
      </c>
      <c r="D89" s="21">
        <f>D82-D88</f>
        <v>-3801.14</v>
      </c>
      <c r="E89" s="21">
        <f>E82-E88</f>
        <v>-4127.55</v>
      </c>
      <c r="F89" s="21">
        <f>F82-F88</f>
        <v>-4154.7</v>
      </c>
      <c r="G89" s="23">
        <f>B89+C89+D89+E89+F89</f>
        <v>-20748.060000000001</v>
      </c>
    </row>
    <row r="90" spans="1:7" x14ac:dyDescent="0.3">
      <c r="A90" s="12" t="s">
        <v>65</v>
      </c>
      <c r="B90" s="21">
        <f>B79+B89</f>
        <v>839.70999999999458</v>
      </c>
      <c r="C90" s="21">
        <f>C79+C89</f>
        <v>5547.6099999999888</v>
      </c>
      <c r="D90" s="21">
        <f>D79+D89</f>
        <v>9907.7599999999802</v>
      </c>
      <c r="E90" s="21">
        <f>E79+E89</f>
        <v>6405.9899999999934</v>
      </c>
      <c r="F90" s="21">
        <f>F79+F89</f>
        <v>21077.980000000007</v>
      </c>
      <c r="G90" s="23">
        <f>B90+C90+D90+E90+F90</f>
        <v>43779.049999999959</v>
      </c>
    </row>
    <row r="94" spans="1:7" x14ac:dyDescent="0.3">
      <c r="A94" s="1" t="s">
        <v>174</v>
      </c>
      <c r="B94" s="4"/>
      <c r="C94" s="4"/>
      <c r="D94" s="4"/>
      <c r="E94" s="4"/>
      <c r="F94" s="4"/>
      <c r="G94" s="4"/>
    </row>
  </sheetData>
  <mergeCells count="4">
    <mergeCell ref="A1:G1"/>
    <mergeCell ref="A2:G2"/>
    <mergeCell ref="A3:G3"/>
    <mergeCell ref="A94:G9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4176-0500-46F3-8630-1EED5D5EA324}">
  <dimension ref="A1:D104"/>
  <sheetViews>
    <sheetView workbookViewId="0">
      <selection activeCell="C13" sqref="C13"/>
    </sheetView>
  </sheetViews>
  <sheetFormatPr defaultColWidth="11.296875" defaultRowHeight="15.6" x14ac:dyDescent="0.3"/>
  <cols>
    <col min="1" max="1" width="32.3984375" style="17" customWidth="1"/>
    <col min="2" max="2" width="21.796875" style="17" customWidth="1"/>
    <col min="3" max="3" width="24.69921875" style="17" customWidth="1"/>
    <col min="4" max="4" width="15.19921875" style="17" customWidth="1"/>
  </cols>
  <sheetData>
    <row r="1" spans="1:4" x14ac:dyDescent="0.3">
      <c r="A1" s="5" t="s">
        <v>0</v>
      </c>
      <c r="B1" s="4"/>
      <c r="C1" s="4"/>
      <c r="D1" s="4"/>
    </row>
    <row r="2" spans="1:4" x14ac:dyDescent="0.3">
      <c r="A2" s="3" t="s">
        <v>173</v>
      </c>
      <c r="B2" s="4"/>
      <c r="C2" s="4"/>
      <c r="D2" s="4"/>
    </row>
    <row r="3" spans="1:4" x14ac:dyDescent="0.3">
      <c r="A3" s="2" t="s">
        <v>172</v>
      </c>
      <c r="B3" s="4"/>
      <c r="C3" s="4"/>
      <c r="D3" s="4"/>
    </row>
    <row r="5" spans="1:4" x14ac:dyDescent="0.3">
      <c r="A5" s="18" t="s">
        <v>68</v>
      </c>
      <c r="B5" s="26" t="s">
        <v>171</v>
      </c>
      <c r="C5" s="25"/>
      <c r="D5" s="25"/>
    </row>
    <row r="6" spans="1:4" x14ac:dyDescent="0.3">
      <c r="B6" s="18" t="s">
        <v>170</v>
      </c>
      <c r="C6" s="18" t="s">
        <v>169</v>
      </c>
      <c r="D6" s="18" t="s">
        <v>168</v>
      </c>
    </row>
    <row r="7" spans="1:4" x14ac:dyDescent="0.3">
      <c r="A7" s="6" t="s">
        <v>167</v>
      </c>
    </row>
    <row r="8" spans="1:4" x14ac:dyDescent="0.3">
      <c r="A8" s="7" t="s">
        <v>166</v>
      </c>
      <c r="B8" s="20">
        <v>3871.63</v>
      </c>
      <c r="C8" s="20">
        <v>9624.2199999999993</v>
      </c>
      <c r="D8" s="24">
        <f>IFERROR((((B8-C8)/IF(C8&lt;0,-1*C8,C8))*100),"")</f>
        <v>-59.772012692976674</v>
      </c>
    </row>
    <row r="9" spans="1:4" x14ac:dyDescent="0.3">
      <c r="A9" s="7" t="s">
        <v>165</v>
      </c>
      <c r="B9" s="20">
        <v>9179.93</v>
      </c>
      <c r="C9" s="20">
        <v>11775.78</v>
      </c>
      <c r="D9" s="24">
        <f>IFERROR((((B9-C9)/IF(C9&lt;0,-1*C9,C9))*100),"")</f>
        <v>-22.043975006326548</v>
      </c>
    </row>
    <row r="10" spans="1:4" x14ac:dyDescent="0.3">
      <c r="A10" s="7" t="s">
        <v>164</v>
      </c>
      <c r="B10" s="20">
        <v>7780</v>
      </c>
      <c r="C10" s="19"/>
      <c r="D10" s="19" t="s">
        <v>68</v>
      </c>
    </row>
    <row r="11" spans="1:4" x14ac:dyDescent="0.3">
      <c r="A11" s="7" t="s">
        <v>163</v>
      </c>
      <c r="B11" s="20">
        <v>875.85</v>
      </c>
      <c r="C11" s="19"/>
      <c r="D11" s="19" t="s">
        <v>68</v>
      </c>
    </row>
    <row r="12" spans="1:4" x14ac:dyDescent="0.3">
      <c r="A12" s="7" t="s">
        <v>162</v>
      </c>
      <c r="B12" s="20">
        <v>204683.77</v>
      </c>
      <c r="C12" s="20">
        <v>226371.61</v>
      </c>
      <c r="D12" s="24">
        <f>IFERROR((((B12-C12)/IF(C12&lt;0,-1*C12,C12))*100),"")</f>
        <v>-9.5806360170341129</v>
      </c>
    </row>
    <row r="13" spans="1:4" x14ac:dyDescent="0.3">
      <c r="A13" s="7" t="s">
        <v>161</v>
      </c>
      <c r="B13" s="20">
        <v>20256</v>
      </c>
      <c r="C13" s="20">
        <v>13812</v>
      </c>
      <c r="D13" s="24">
        <f>IFERROR((((B13-C13)/IF(C13&lt;0,-1*C13,C13))*100),"")</f>
        <v>46.655082536924411</v>
      </c>
    </row>
    <row r="14" spans="1:4" x14ac:dyDescent="0.3">
      <c r="A14" s="7" t="s">
        <v>160</v>
      </c>
      <c r="B14" s="20">
        <v>2090.0100000000002</v>
      </c>
      <c r="C14" s="19"/>
      <c r="D14" s="19" t="s">
        <v>68</v>
      </c>
    </row>
    <row r="15" spans="1:4" x14ac:dyDescent="0.3">
      <c r="A15" s="7" t="s">
        <v>159</v>
      </c>
      <c r="B15" s="20">
        <v>-3874.52</v>
      </c>
      <c r="C15" s="20">
        <v>-5171.3</v>
      </c>
      <c r="D15" s="24">
        <f>IFERROR((((B15-C15)/IF(C15&lt;0,-1*C15,C15))*100),"")</f>
        <v>25.076479801984032</v>
      </c>
    </row>
    <row r="16" spans="1:4" x14ac:dyDescent="0.3">
      <c r="A16" s="7" t="s">
        <v>158</v>
      </c>
      <c r="B16" s="20">
        <v>6080</v>
      </c>
      <c r="C16" s="20">
        <v>4000</v>
      </c>
      <c r="D16" s="24">
        <f>IFERROR((((B16-C16)/IF(C16&lt;0,-1*C16,C16))*100),"")</f>
        <v>52</v>
      </c>
    </row>
    <row r="17" spans="1:4" x14ac:dyDescent="0.3">
      <c r="A17" s="7" t="s">
        <v>157</v>
      </c>
      <c r="B17" s="20">
        <v>71424.259999999995</v>
      </c>
      <c r="C17" s="20">
        <v>4254.5</v>
      </c>
      <c r="D17" s="24">
        <f>IFERROR((((B17-C17)/IF(C17&lt;0,-1*C17,C17))*100),"")</f>
        <v>1578.7932777059582</v>
      </c>
    </row>
    <row r="18" spans="1:4" x14ac:dyDescent="0.3">
      <c r="A18" s="7" t="s">
        <v>156</v>
      </c>
      <c r="B18" s="20">
        <v>6880.5</v>
      </c>
      <c r="C18" s="20">
        <v>9457.9</v>
      </c>
      <c r="D18" s="24">
        <f>IFERROR((((B18-C18)/IF(C18&lt;0,-1*C18,C18))*100),"")</f>
        <v>-27.251292570232287</v>
      </c>
    </row>
    <row r="19" spans="1:4" x14ac:dyDescent="0.3">
      <c r="A19" s="12" t="s">
        <v>155</v>
      </c>
      <c r="B19" s="28">
        <f>B7+B8+B9+B10+B11+B12+B13+B14+B15+B16+B17+B18</f>
        <v>329247.43</v>
      </c>
      <c r="C19" s="23">
        <f>C7+C8+C9+C10+C11+C12+C13+C14+C15+C16+C17+C18</f>
        <v>274124.71000000002</v>
      </c>
      <c r="D19" s="22">
        <f>IFERROR((((B19-C19)/IF(C19&lt;0,-1*C19,C19))*100),"")</f>
        <v>20.108628660291139</v>
      </c>
    </row>
    <row r="20" spans="1:4" x14ac:dyDescent="0.3">
      <c r="A20" s="6" t="s">
        <v>154</v>
      </c>
    </row>
    <row r="21" spans="1:4" x14ac:dyDescent="0.3">
      <c r="A21" s="7" t="s">
        <v>153</v>
      </c>
      <c r="B21" s="19"/>
      <c r="C21" s="20">
        <v>2838.83</v>
      </c>
      <c r="D21" s="24">
        <f>IFERROR((((B21-C21)/IF(C21&lt;0,-1*C21,C21))*100),"")</f>
        <v>-100</v>
      </c>
    </row>
    <row r="22" spans="1:4" x14ac:dyDescent="0.3">
      <c r="A22" s="12" t="s">
        <v>152</v>
      </c>
      <c r="B22" s="23">
        <f>B20+B21</f>
        <v>0</v>
      </c>
      <c r="C22" s="23">
        <f>C20+C21</f>
        <v>2838.83</v>
      </c>
      <c r="D22" s="22">
        <f>IFERROR((((B22-C22)/IF(C22&lt;0,-1*C22,C22))*100),"")</f>
        <v>-100</v>
      </c>
    </row>
    <row r="23" spans="1:4" x14ac:dyDescent="0.3">
      <c r="A23" s="12" t="s">
        <v>151</v>
      </c>
      <c r="B23" s="23">
        <f>B19-B22</f>
        <v>329247.43</v>
      </c>
      <c r="C23" s="23">
        <f>C19-C22</f>
        <v>271285.88</v>
      </c>
      <c r="D23" s="22">
        <f>IFERROR((((B23-C23)/IF(C23&lt;0,-1*C23,C23))*100),"")</f>
        <v>21.365487212235294</v>
      </c>
    </row>
    <row r="24" spans="1:4" x14ac:dyDescent="0.3">
      <c r="A24" s="6" t="s">
        <v>150</v>
      </c>
    </row>
    <row r="25" spans="1:4" x14ac:dyDescent="0.3">
      <c r="A25" s="7" t="s">
        <v>149</v>
      </c>
      <c r="B25" s="20">
        <v>8366.0400000000009</v>
      </c>
      <c r="C25" s="20">
        <v>9423.65</v>
      </c>
      <c r="D25" s="24">
        <f>IFERROR((((B25-C25)/IF(C25&lt;0,-1*C25,C25))*100),"")</f>
        <v>-11.22293378892466</v>
      </c>
    </row>
    <row r="26" spans="1:4" x14ac:dyDescent="0.3">
      <c r="A26" s="8" t="s">
        <v>148</v>
      </c>
      <c r="B26" s="20">
        <v>2760</v>
      </c>
      <c r="C26" s="19"/>
      <c r="D26" s="19" t="s">
        <v>68</v>
      </c>
    </row>
    <row r="27" spans="1:4" x14ac:dyDescent="0.3">
      <c r="A27" s="8" t="s">
        <v>147</v>
      </c>
      <c r="B27" s="20">
        <v>3000</v>
      </c>
      <c r="C27" s="20">
        <v>4480</v>
      </c>
      <c r="D27" s="24">
        <f>IFERROR((((B27-C27)/IF(C27&lt;0,-1*C27,C27))*100),"")</f>
        <v>-33.035714285714285</v>
      </c>
    </row>
    <row r="28" spans="1:4" x14ac:dyDescent="0.3">
      <c r="A28" s="8" t="s">
        <v>146</v>
      </c>
      <c r="B28" s="20">
        <v>7703.76</v>
      </c>
      <c r="C28" s="20">
        <v>2657.74</v>
      </c>
      <c r="D28" s="24">
        <f>IFERROR((((B28-C28)/IF(C28&lt;0,-1*C28,C28))*100),"")</f>
        <v>189.86131073769445</v>
      </c>
    </row>
    <row r="29" spans="1:4" x14ac:dyDescent="0.3">
      <c r="A29" s="11" t="s">
        <v>145</v>
      </c>
      <c r="B29" s="23">
        <f>B25+B26+B27+B28</f>
        <v>21829.800000000003</v>
      </c>
      <c r="C29" s="23">
        <f>C25+C26+C27+C28</f>
        <v>16561.39</v>
      </c>
      <c r="D29" s="22">
        <f>IFERROR((((B29-C29)/IF(C29&lt;0,-1*C29,C29))*100),"")</f>
        <v>31.811399888535945</v>
      </c>
    </row>
    <row r="30" spans="1:4" x14ac:dyDescent="0.3">
      <c r="A30" s="7" t="s">
        <v>144</v>
      </c>
      <c r="B30" s="19"/>
      <c r="C30" s="19"/>
      <c r="D30" s="19" t="s">
        <v>68</v>
      </c>
    </row>
    <row r="31" spans="1:4" x14ac:dyDescent="0.3">
      <c r="A31" s="8" t="s">
        <v>143</v>
      </c>
      <c r="B31" s="20">
        <v>1204.8900000000001</v>
      </c>
      <c r="C31" s="20">
        <v>517.1</v>
      </c>
      <c r="D31" s="24">
        <f>IFERROR((((B31-C31)/IF(C31&lt;0,-1*C31,C31))*100),"")</f>
        <v>133.00908915103463</v>
      </c>
    </row>
    <row r="32" spans="1:4" x14ac:dyDescent="0.3">
      <c r="A32" s="8" t="s">
        <v>142</v>
      </c>
      <c r="B32" s="20">
        <v>694</v>
      </c>
      <c r="C32" s="19"/>
      <c r="D32" s="19" t="s">
        <v>68</v>
      </c>
    </row>
    <row r="33" spans="1:4" x14ac:dyDescent="0.3">
      <c r="A33" s="8" t="s">
        <v>141</v>
      </c>
      <c r="B33" s="20">
        <v>8842.44</v>
      </c>
      <c r="C33" s="20">
        <v>1452.65</v>
      </c>
      <c r="D33" s="24">
        <f>IFERROR((((B33-C33)/IF(C33&lt;0,-1*C33,C33))*100),"")</f>
        <v>508.71097649124016</v>
      </c>
    </row>
    <row r="34" spans="1:4" x14ac:dyDescent="0.3">
      <c r="A34" s="8" t="s">
        <v>140</v>
      </c>
      <c r="B34" s="20">
        <v>200.82</v>
      </c>
      <c r="C34" s="20">
        <v>1949.2</v>
      </c>
      <c r="D34" s="24">
        <f>IFERROR((((B34-C34)/IF(C34&lt;0,-1*C34,C34))*100),"")</f>
        <v>-89.697311717627741</v>
      </c>
    </row>
    <row r="35" spans="1:4" x14ac:dyDescent="0.3">
      <c r="A35" s="8" t="s">
        <v>139</v>
      </c>
      <c r="B35" s="19"/>
      <c r="C35" s="20">
        <v>193.3</v>
      </c>
      <c r="D35" s="24">
        <f>IFERROR((((B35-C35)/IF(C35&lt;0,-1*C35,C35))*100),"")</f>
        <v>-100</v>
      </c>
    </row>
    <row r="36" spans="1:4" x14ac:dyDescent="0.3">
      <c r="A36" s="11" t="s">
        <v>138</v>
      </c>
      <c r="B36" s="23">
        <f>B30+B31+B32+B33+B34+B35</f>
        <v>10942.15</v>
      </c>
      <c r="C36" s="23">
        <f>C30+C31+C32+C33+C34+C35</f>
        <v>4112.25</v>
      </c>
      <c r="D36" s="22">
        <f>IFERROR((((B36-C36)/IF(C36&lt;0,-1*C36,C36))*100),"")</f>
        <v>166.08669220013374</v>
      </c>
    </row>
    <row r="37" spans="1:4" x14ac:dyDescent="0.3">
      <c r="A37" s="7" t="s">
        <v>137</v>
      </c>
      <c r="B37" s="19"/>
      <c r="C37" s="19"/>
      <c r="D37" s="19" t="s">
        <v>68</v>
      </c>
    </row>
    <row r="38" spans="1:4" x14ac:dyDescent="0.3">
      <c r="A38" s="8" t="s">
        <v>136</v>
      </c>
      <c r="B38" s="20">
        <v>5127.1099999999997</v>
      </c>
      <c r="C38" s="20">
        <v>5215</v>
      </c>
      <c r="D38" s="24">
        <f>IFERROR((((B38-C38)/IF(C38&lt;0,-1*C38,C38))*100),"")</f>
        <v>-1.6853307766059507</v>
      </c>
    </row>
    <row r="39" spans="1:4" x14ac:dyDescent="0.3">
      <c r="A39" s="8" t="s">
        <v>135</v>
      </c>
      <c r="B39" s="19"/>
      <c r="C39" s="20">
        <v>14.61</v>
      </c>
      <c r="D39" s="24">
        <f>IFERROR((((B39-C39)/IF(C39&lt;0,-1*C39,C39))*100),"")</f>
        <v>-100</v>
      </c>
    </row>
    <row r="40" spans="1:4" x14ac:dyDescent="0.3">
      <c r="A40" s="9" t="s">
        <v>134</v>
      </c>
      <c r="B40" s="20">
        <v>557.29999999999995</v>
      </c>
      <c r="C40" s="20">
        <v>848.9</v>
      </c>
      <c r="D40" s="24">
        <f>IFERROR((((B40-C40)/IF(C40&lt;0,-1*C40,C40))*100),"")</f>
        <v>-34.35033572858994</v>
      </c>
    </row>
    <row r="41" spans="1:4" x14ac:dyDescent="0.3">
      <c r="A41" s="9" t="s">
        <v>133</v>
      </c>
      <c r="B41" s="20">
        <v>106.57</v>
      </c>
      <c r="C41" s="20">
        <v>94.66</v>
      </c>
      <c r="D41" s="24">
        <f>IFERROR((((B41-C41)/IF(C41&lt;0,-1*C41,C41))*100),"")</f>
        <v>12.581871962814278</v>
      </c>
    </row>
    <row r="42" spans="1:4" x14ac:dyDescent="0.3">
      <c r="A42" s="10" t="s">
        <v>132</v>
      </c>
      <c r="B42" s="23">
        <f>B39+B40+B41</f>
        <v>663.86999999999989</v>
      </c>
      <c r="C42" s="23">
        <f>C39+C40+C41</f>
        <v>958.17</v>
      </c>
      <c r="D42" s="22">
        <f>IFERROR((((B42-C42)/IF(C42&lt;0,-1*C42,C42))*100),"")</f>
        <v>-30.714800087667122</v>
      </c>
    </row>
    <row r="43" spans="1:4" x14ac:dyDescent="0.3">
      <c r="A43" s="8" t="s">
        <v>131</v>
      </c>
      <c r="B43" s="20">
        <v>307.05</v>
      </c>
      <c r="C43" s="20">
        <v>300</v>
      </c>
      <c r="D43" s="24">
        <f>IFERROR((((B43-C43)/IF(C43&lt;0,-1*C43,C43))*100),"")</f>
        <v>2.3500000000000036</v>
      </c>
    </row>
    <row r="44" spans="1:4" x14ac:dyDescent="0.3">
      <c r="A44" s="8" t="s">
        <v>130</v>
      </c>
      <c r="B44" s="20">
        <v>1932.82</v>
      </c>
      <c r="C44" s="20">
        <v>4832.05</v>
      </c>
      <c r="D44" s="24">
        <f>IFERROR((((B44-C44)/IF(C44&lt;0,-1*C44,C44))*100),"")</f>
        <v>-60.000000000000007</v>
      </c>
    </row>
    <row r="45" spans="1:4" x14ac:dyDescent="0.3">
      <c r="A45" s="8" t="s">
        <v>129</v>
      </c>
      <c r="B45" s="20">
        <v>1400.1</v>
      </c>
      <c r="C45" s="20">
        <v>20</v>
      </c>
      <c r="D45" s="24">
        <f>IFERROR((((B45-C45)/IF(C45&lt;0,-1*C45,C45))*100),"")</f>
        <v>6900.5</v>
      </c>
    </row>
    <row r="46" spans="1:4" x14ac:dyDescent="0.3">
      <c r="A46" s="8" t="s">
        <v>128</v>
      </c>
      <c r="B46" s="20">
        <v>4315.7</v>
      </c>
      <c r="C46" s="20">
        <v>2900.55</v>
      </c>
      <c r="D46" s="24">
        <f>IFERROR((((B46-C46)/IF(C46&lt;0,-1*C46,C46))*100),"")</f>
        <v>48.789022771543308</v>
      </c>
    </row>
    <row r="47" spans="1:4" x14ac:dyDescent="0.3">
      <c r="A47" s="8" t="s">
        <v>127</v>
      </c>
      <c r="B47" s="20">
        <v>14</v>
      </c>
      <c r="C47" s="19"/>
      <c r="D47" s="19" t="s">
        <v>68</v>
      </c>
    </row>
    <row r="48" spans="1:4" x14ac:dyDescent="0.3">
      <c r="A48" s="9" t="s">
        <v>126</v>
      </c>
      <c r="B48" s="20">
        <v>5228.68</v>
      </c>
      <c r="C48" s="20">
        <v>508.69</v>
      </c>
      <c r="D48" s="24">
        <f>IFERROR((((B48-C48)/IF(C48&lt;0,-1*C48,C48))*100),"")</f>
        <v>927.87159173563475</v>
      </c>
    </row>
    <row r="49" spans="1:4" x14ac:dyDescent="0.3">
      <c r="A49" s="10" t="s">
        <v>125</v>
      </c>
      <c r="B49" s="23">
        <f>B47+B48</f>
        <v>5242.68</v>
      </c>
      <c r="C49" s="23">
        <f>C47+C48</f>
        <v>508.69</v>
      </c>
      <c r="D49" s="22">
        <f>IFERROR((((B49-C49)/IF(C49&lt;0,-1*C49,C49))*100),"")</f>
        <v>930.62375906740851</v>
      </c>
    </row>
    <row r="50" spans="1:4" x14ac:dyDescent="0.3">
      <c r="A50" s="8" t="s">
        <v>124</v>
      </c>
      <c r="B50" s="20">
        <v>6873.25</v>
      </c>
      <c r="C50" s="20">
        <v>5753.11</v>
      </c>
      <c r="D50" s="24">
        <f>IFERROR((((B50-C50)/IF(C50&lt;0,-1*C50,C50))*100),"")</f>
        <v>19.47016483258621</v>
      </c>
    </row>
    <row r="51" spans="1:4" x14ac:dyDescent="0.3">
      <c r="A51" s="8" t="s">
        <v>123</v>
      </c>
      <c r="B51" s="20">
        <v>1079.25</v>
      </c>
      <c r="C51" s="20">
        <v>1079.3800000000001</v>
      </c>
      <c r="D51" s="24">
        <f>IFERROR((((B51-C51)/IF(C51&lt;0,-1*C51,C51))*100),"")</f>
        <v>-1.2043951157155879E-2</v>
      </c>
    </row>
    <row r="52" spans="1:4" x14ac:dyDescent="0.3">
      <c r="A52" s="9" t="s">
        <v>122</v>
      </c>
      <c r="B52" s="20">
        <v>114.99</v>
      </c>
      <c r="C52" s="19"/>
      <c r="D52" s="19" t="s">
        <v>68</v>
      </c>
    </row>
    <row r="53" spans="1:4" x14ac:dyDescent="0.3">
      <c r="A53" s="9" t="s">
        <v>121</v>
      </c>
      <c r="B53" s="19"/>
      <c r="C53" s="20">
        <v>75.55</v>
      </c>
      <c r="D53" s="24">
        <f>IFERROR((((B53-C53)/IF(C53&lt;0,-1*C53,C53))*100),"")</f>
        <v>-100</v>
      </c>
    </row>
    <row r="54" spans="1:4" x14ac:dyDescent="0.3">
      <c r="A54" s="9" t="s">
        <v>120</v>
      </c>
      <c r="B54" s="20">
        <v>1181.5</v>
      </c>
      <c r="C54" s="20">
        <v>490.05</v>
      </c>
      <c r="D54" s="24">
        <f>IFERROR((((B54-C54)/IF(C54&lt;0,-1*C54,C54))*100),"")</f>
        <v>141.09784715845322</v>
      </c>
    </row>
    <row r="55" spans="1:4" x14ac:dyDescent="0.3">
      <c r="A55" s="10" t="s">
        <v>119</v>
      </c>
      <c r="B55" s="23">
        <f>B51+B52+B53+B54</f>
        <v>2375.7399999999998</v>
      </c>
      <c r="C55" s="23">
        <f>C51+C52+C53+C54</f>
        <v>1644.98</v>
      </c>
      <c r="D55" s="22">
        <f>IFERROR((((B55-C55)/IF(C55&lt;0,-1*C55,C55))*100),"")</f>
        <v>44.423640409001919</v>
      </c>
    </row>
    <row r="56" spans="1:4" x14ac:dyDescent="0.3">
      <c r="A56" s="8" t="s">
        <v>118</v>
      </c>
      <c r="B56" s="20">
        <v>66665</v>
      </c>
      <c r="C56" s="20">
        <v>62319.75</v>
      </c>
      <c r="D56" s="24">
        <f>IFERROR((((B56-C56)/IF(C56&lt;0,-1*C56,C56))*100),"")</f>
        <v>6.972508715134448</v>
      </c>
    </row>
    <row r="57" spans="1:4" x14ac:dyDescent="0.3">
      <c r="A57" s="9" t="s">
        <v>117</v>
      </c>
      <c r="B57" s="20">
        <v>778.95</v>
      </c>
      <c r="C57" s="20">
        <v>688.69</v>
      </c>
      <c r="D57" s="24">
        <f>IFERROR((((B57-C57)/IF(C57&lt;0,-1*C57,C57))*100),"")</f>
        <v>13.106041905646951</v>
      </c>
    </row>
    <row r="58" spans="1:4" x14ac:dyDescent="0.3">
      <c r="A58" s="10" t="s">
        <v>116</v>
      </c>
      <c r="B58" s="23">
        <f>B56+B57</f>
        <v>67443.95</v>
      </c>
      <c r="C58" s="23">
        <f>C56+C57</f>
        <v>63008.44</v>
      </c>
      <c r="D58" s="22">
        <f>IFERROR((((B58-C58)/IF(C58&lt;0,-1*C58,C58))*100),"")</f>
        <v>7.039548987405488</v>
      </c>
    </row>
    <row r="59" spans="1:4" x14ac:dyDescent="0.3">
      <c r="A59" s="8" t="s">
        <v>115</v>
      </c>
      <c r="B59" s="20">
        <v>4432.95</v>
      </c>
      <c r="C59" s="20">
        <v>1510.75</v>
      </c>
      <c r="D59" s="24">
        <f>IFERROR((((B59-C59)/IF(C59&lt;0,-1*C59,C59))*100),"")</f>
        <v>193.42710574218103</v>
      </c>
    </row>
    <row r="60" spans="1:4" x14ac:dyDescent="0.3">
      <c r="A60" s="8" t="s">
        <v>114</v>
      </c>
      <c r="B60" s="20">
        <v>322</v>
      </c>
      <c r="C60" s="20">
        <v>376</v>
      </c>
      <c r="D60" s="24">
        <f>IFERROR((((B60-C60)/IF(C60&lt;0,-1*C60,C60))*100),"")</f>
        <v>-14.361702127659576</v>
      </c>
    </row>
    <row r="61" spans="1:4" x14ac:dyDescent="0.3">
      <c r="A61" s="8" t="s">
        <v>113</v>
      </c>
      <c r="B61" s="19"/>
      <c r="C61" s="20">
        <v>21.95</v>
      </c>
      <c r="D61" s="24">
        <f>IFERROR((((B61-C61)/IF(C61&lt;0,-1*C61,C61))*100),"")</f>
        <v>-100</v>
      </c>
    </row>
    <row r="62" spans="1:4" x14ac:dyDescent="0.3">
      <c r="A62" s="9" t="s">
        <v>112</v>
      </c>
      <c r="B62" s="20">
        <v>1488.28</v>
      </c>
      <c r="C62" s="20">
        <v>1111.1300000000001</v>
      </c>
      <c r="D62" s="24">
        <f>IFERROR((((B62-C62)/IF(C62&lt;0,-1*C62,C62))*100),"")</f>
        <v>33.942922970309489</v>
      </c>
    </row>
    <row r="63" spans="1:4" x14ac:dyDescent="0.3">
      <c r="A63" s="10" t="s">
        <v>111</v>
      </c>
      <c r="B63" s="23">
        <f>B61+B62</f>
        <v>1488.28</v>
      </c>
      <c r="C63" s="23">
        <f>C61+C62</f>
        <v>1133.0800000000002</v>
      </c>
      <c r="D63" s="22">
        <f>IFERROR((((B63-C63)/IF(C63&lt;0,-1*C63,C63))*100),"")</f>
        <v>31.348183711653171</v>
      </c>
    </row>
    <row r="64" spans="1:4" x14ac:dyDescent="0.3">
      <c r="A64" s="11" t="s">
        <v>110</v>
      </c>
      <c r="B64" s="23">
        <f>B37+B38+B42+B43+B44+B45+B46+B49+B50+B55+B58+B59+B60+B63</f>
        <v>101925.49999999999</v>
      </c>
      <c r="C64" s="23">
        <f>C37+C38+C42+C43+C44+C45+C46+C49+C50+C55+C58+C59+C60+C63</f>
        <v>88160.82</v>
      </c>
      <c r="D64" s="22">
        <f>IFERROR((((B64-C64)/IF(C64&lt;0,-1*C64,C64))*100),"")</f>
        <v>15.613148788770314</v>
      </c>
    </row>
    <row r="65" spans="1:4" x14ac:dyDescent="0.3">
      <c r="A65" s="7" t="s">
        <v>109</v>
      </c>
      <c r="B65" s="19"/>
      <c r="C65" s="19"/>
      <c r="D65" s="19" t="s">
        <v>68</v>
      </c>
    </row>
    <row r="66" spans="1:4" x14ac:dyDescent="0.3">
      <c r="A66" s="8" t="s">
        <v>108</v>
      </c>
      <c r="B66" s="19"/>
      <c r="C66" s="20">
        <v>3937.5</v>
      </c>
      <c r="D66" s="24">
        <f>IFERROR((((B66-C66)/IF(C66&lt;0,-1*C66,C66))*100),"")</f>
        <v>-100</v>
      </c>
    </row>
    <row r="67" spans="1:4" x14ac:dyDescent="0.3">
      <c r="A67" s="11" t="s">
        <v>107</v>
      </c>
      <c r="B67" s="23">
        <f>B65+B66</f>
        <v>0</v>
      </c>
      <c r="C67" s="23">
        <f>C65+C66</f>
        <v>3937.5</v>
      </c>
      <c r="D67" s="22">
        <f>IFERROR((((B67-C67)/IF(C67&lt;0,-1*C67,C67))*100),"")</f>
        <v>-100</v>
      </c>
    </row>
    <row r="68" spans="1:4" x14ac:dyDescent="0.3">
      <c r="A68" s="7" t="s">
        <v>106</v>
      </c>
      <c r="B68" s="19"/>
      <c r="C68" s="19"/>
      <c r="D68" s="19" t="s">
        <v>68</v>
      </c>
    </row>
    <row r="69" spans="1:4" x14ac:dyDescent="0.3">
      <c r="A69" s="8" t="s">
        <v>105</v>
      </c>
      <c r="B69" s="20">
        <v>10003.5</v>
      </c>
      <c r="C69" s="20">
        <v>22250</v>
      </c>
      <c r="D69" s="24">
        <f>IFERROR((((B69-C69)/IF(C69&lt;0,-1*C69,C69))*100),"")</f>
        <v>-55.040449438202245</v>
      </c>
    </row>
    <row r="70" spans="1:4" x14ac:dyDescent="0.3">
      <c r="A70" s="8" t="s">
        <v>104</v>
      </c>
      <c r="B70" s="20">
        <v>30457.5</v>
      </c>
      <c r="C70" s="20">
        <v>28919.5</v>
      </c>
      <c r="D70" s="24">
        <f>IFERROR((((B70-C70)/IF(C70&lt;0,-1*C70,C70))*100),"")</f>
        <v>5.318210895762375</v>
      </c>
    </row>
    <row r="71" spans="1:4" x14ac:dyDescent="0.3">
      <c r="A71" s="8" t="s">
        <v>103</v>
      </c>
      <c r="B71" s="20">
        <v>10338.370000000001</v>
      </c>
      <c r="C71" s="19"/>
      <c r="D71" s="19" t="s">
        <v>68</v>
      </c>
    </row>
    <row r="72" spans="1:4" x14ac:dyDescent="0.3">
      <c r="A72" s="8" t="s">
        <v>102</v>
      </c>
      <c r="B72" s="20">
        <v>5000</v>
      </c>
      <c r="C72" s="19"/>
      <c r="D72" s="19" t="s">
        <v>68</v>
      </c>
    </row>
    <row r="73" spans="1:4" x14ac:dyDescent="0.3">
      <c r="A73" s="8" t="s">
        <v>101</v>
      </c>
      <c r="B73" s="20">
        <v>5387.5</v>
      </c>
      <c r="C73" s="20">
        <v>5225</v>
      </c>
      <c r="D73" s="24">
        <f>IFERROR((((B73-C73)/IF(C73&lt;0,-1*C73,C73))*100),"")</f>
        <v>3.1100478468899522</v>
      </c>
    </row>
    <row r="74" spans="1:4" x14ac:dyDescent="0.3">
      <c r="A74" s="8" t="s">
        <v>100</v>
      </c>
      <c r="B74" s="20">
        <v>18639.2</v>
      </c>
      <c r="C74" s="20">
        <v>10455</v>
      </c>
      <c r="D74" s="24">
        <f>IFERROR((((B74-C74)/IF(C74&lt;0,-1*C74,C74))*100),"")</f>
        <v>78.28024868483979</v>
      </c>
    </row>
    <row r="75" spans="1:4" x14ac:dyDescent="0.3">
      <c r="A75" s="8" t="s">
        <v>99</v>
      </c>
      <c r="B75" s="20">
        <v>895.96</v>
      </c>
      <c r="C75" s="19"/>
      <c r="D75" s="19" t="s">
        <v>68</v>
      </c>
    </row>
    <row r="76" spans="1:4" x14ac:dyDescent="0.3">
      <c r="A76" s="8" t="s">
        <v>98</v>
      </c>
      <c r="B76" s="20">
        <v>3513.51</v>
      </c>
      <c r="C76" s="19"/>
      <c r="D76" s="19" t="s">
        <v>68</v>
      </c>
    </row>
    <row r="77" spans="1:4" x14ac:dyDescent="0.3">
      <c r="A77" s="8" t="s">
        <v>97</v>
      </c>
      <c r="B77" s="19"/>
      <c r="C77" s="20">
        <v>1870.5</v>
      </c>
      <c r="D77" s="24">
        <f>IFERROR((((B77-C77)/IF(C77&lt;0,-1*C77,C77))*100),"")</f>
        <v>-100</v>
      </c>
    </row>
    <row r="78" spans="1:4" x14ac:dyDescent="0.3">
      <c r="A78" s="8" t="s">
        <v>96</v>
      </c>
      <c r="B78" s="20">
        <v>29950.03</v>
      </c>
      <c r="C78" s="19"/>
      <c r="D78" s="19" t="s">
        <v>68</v>
      </c>
    </row>
    <row r="79" spans="1:4" x14ac:dyDescent="0.3">
      <c r="A79" s="8" t="s">
        <v>95</v>
      </c>
      <c r="B79" s="20">
        <v>1250</v>
      </c>
      <c r="C79" s="19"/>
      <c r="D79" s="19" t="s">
        <v>68</v>
      </c>
    </row>
    <row r="80" spans="1:4" x14ac:dyDescent="0.3">
      <c r="A80" s="8" t="s">
        <v>94</v>
      </c>
      <c r="B80" s="20">
        <v>471</v>
      </c>
      <c r="C80" s="19"/>
      <c r="D80" s="19" t="s">
        <v>68</v>
      </c>
    </row>
    <row r="81" spans="1:4" x14ac:dyDescent="0.3">
      <c r="A81" s="11" t="s">
        <v>93</v>
      </c>
      <c r="B81" s="23">
        <f>B68+B69+B70+B71+B72+B73+B74+B75+B76+B77+B78+B79+B80</f>
        <v>115906.57</v>
      </c>
      <c r="C81" s="23">
        <f>C68+C69+C70+C71+C72+C73+C74+C75+C76+C77+C78+C79+C80</f>
        <v>68720</v>
      </c>
      <c r="D81" s="22">
        <f>IFERROR((((B81-C81)/IF(C81&lt;0,-1*C81,C81))*100),"")</f>
        <v>68.664973806752045</v>
      </c>
    </row>
    <row r="82" spans="1:4" x14ac:dyDescent="0.3">
      <c r="A82" s="7" t="s">
        <v>92</v>
      </c>
      <c r="B82" s="19"/>
      <c r="C82" s="19"/>
      <c r="D82" s="19" t="s">
        <v>68</v>
      </c>
    </row>
    <row r="83" spans="1:4" x14ac:dyDescent="0.3">
      <c r="A83" s="8" t="s">
        <v>91</v>
      </c>
      <c r="B83" s="20">
        <v>2205.4299999999998</v>
      </c>
      <c r="C83" s="19"/>
      <c r="D83" s="19" t="s">
        <v>68</v>
      </c>
    </row>
    <row r="84" spans="1:4" x14ac:dyDescent="0.3">
      <c r="A84" s="8" t="s">
        <v>90</v>
      </c>
      <c r="B84" s="20">
        <v>6573.16</v>
      </c>
      <c r="C84" s="20">
        <v>2685.05</v>
      </c>
      <c r="D84" s="24">
        <f>IFERROR((((B84-C84)/IF(C84&lt;0,-1*C84,C84))*100),"")</f>
        <v>144.8058695368801</v>
      </c>
    </row>
    <row r="85" spans="1:4" x14ac:dyDescent="0.3">
      <c r="A85" s="8" t="s">
        <v>89</v>
      </c>
      <c r="B85" s="20">
        <v>5256.56</v>
      </c>
      <c r="C85" s="20">
        <v>4463.67</v>
      </c>
      <c r="D85" s="24">
        <f>IFERROR((((B85-C85)/IF(C85&lt;0,-1*C85,C85))*100),"")</f>
        <v>17.763185898599144</v>
      </c>
    </row>
    <row r="86" spans="1:4" x14ac:dyDescent="0.3">
      <c r="A86" s="11" t="s">
        <v>88</v>
      </c>
      <c r="B86" s="23">
        <f>B82+B83+B84+B85</f>
        <v>14035.150000000001</v>
      </c>
      <c r="C86" s="23">
        <f>C82+C83+C84+C85</f>
        <v>7148.72</v>
      </c>
      <c r="D86" s="22">
        <f>IFERROR((((B86-C86)/IF(C86&lt;0,-1*C86,C86))*100),"")</f>
        <v>96.33095155496369</v>
      </c>
    </row>
    <row r="87" spans="1:4" x14ac:dyDescent="0.3">
      <c r="A87" s="7" t="s">
        <v>87</v>
      </c>
      <c r="B87" s="20">
        <v>81.150000000000006</v>
      </c>
      <c r="C87" s="20">
        <v>174.15</v>
      </c>
      <c r="D87" s="24">
        <f>IFERROR((((B87-C87)/IF(C87&lt;0,-1*C87,C87))*100),"")</f>
        <v>-53.402239448751075</v>
      </c>
    </row>
    <row r="88" spans="1:4" x14ac:dyDescent="0.3">
      <c r="A88" s="12" t="s">
        <v>86</v>
      </c>
      <c r="B88" s="23">
        <f>B24+B29+B36+B64+B67+B81+B86+B87</f>
        <v>264720.32</v>
      </c>
      <c r="C88" s="23">
        <f>C24+C29+C36+C64+C67+C81+C86+C87</f>
        <v>188814.83000000002</v>
      </c>
      <c r="D88" s="22">
        <f>IFERROR((((B88-C88)/IF(C88&lt;0,-1*C88,C88))*100),"")</f>
        <v>40.201021286304673</v>
      </c>
    </row>
    <row r="89" spans="1:4" x14ac:dyDescent="0.3">
      <c r="A89" s="12" t="s">
        <v>85</v>
      </c>
      <c r="B89" s="23">
        <f>B23-B88</f>
        <v>64527.109999999986</v>
      </c>
      <c r="C89" s="23">
        <f>C23-C88</f>
        <v>82471.049999999988</v>
      </c>
      <c r="D89" s="22">
        <f>IFERROR((((B89-C89)/IF(C89&lt;0,-1*C89,C89))*100),"")</f>
        <v>-21.75786533577541</v>
      </c>
    </row>
    <row r="90" spans="1:4" x14ac:dyDescent="0.3">
      <c r="A90" s="6" t="s">
        <v>84</v>
      </c>
    </row>
    <row r="91" spans="1:4" x14ac:dyDescent="0.3">
      <c r="A91" s="7" t="s">
        <v>83</v>
      </c>
      <c r="B91" s="20">
        <v>1403.45</v>
      </c>
      <c r="C91" s="20">
        <v>1315.66</v>
      </c>
      <c r="D91" s="24">
        <f>IFERROR((((B91-C91)/IF(C91&lt;0,-1*C91,C91))*100),"")</f>
        <v>6.6726965933447815</v>
      </c>
    </row>
    <row r="92" spans="1:4" x14ac:dyDescent="0.3">
      <c r="A92" s="12" t="s">
        <v>82</v>
      </c>
      <c r="B92" s="23">
        <f>B90+B91</f>
        <v>1403.45</v>
      </c>
      <c r="C92" s="23">
        <f>C90+C91</f>
        <v>1315.66</v>
      </c>
      <c r="D92" s="22">
        <f>IFERROR((((B92-C92)/IF(C92&lt;0,-1*C92,C92))*100),"")</f>
        <v>6.6726965933447815</v>
      </c>
    </row>
    <row r="93" spans="1:4" x14ac:dyDescent="0.3">
      <c r="A93" s="6" t="s">
        <v>81</v>
      </c>
    </row>
    <row r="94" spans="1:4" x14ac:dyDescent="0.3">
      <c r="A94" s="7" t="s">
        <v>80</v>
      </c>
      <c r="B94" s="20">
        <v>22071.02</v>
      </c>
      <c r="C94" s="20">
        <v>34078.17</v>
      </c>
      <c r="D94" s="24">
        <f>IFERROR((((B94-C94)/IF(C94&lt;0,-1*C94,C94))*100),"")</f>
        <v>-35.234139626629009</v>
      </c>
    </row>
    <row r="95" spans="1:4" x14ac:dyDescent="0.3">
      <c r="A95" s="7" t="s">
        <v>79</v>
      </c>
      <c r="B95" s="19"/>
      <c r="C95" s="19"/>
      <c r="D95" s="19" t="s">
        <v>68</v>
      </c>
    </row>
    <row r="96" spans="1:4" x14ac:dyDescent="0.3">
      <c r="A96" s="8" t="s">
        <v>78</v>
      </c>
      <c r="B96" s="20">
        <v>80.489999999999995</v>
      </c>
      <c r="C96" s="20">
        <v>41.97</v>
      </c>
      <c r="D96" s="24">
        <f>IFERROR((((B96-C96)/IF(C96&lt;0,-1*C96,C96))*100),"")</f>
        <v>91.779842744817714</v>
      </c>
    </row>
    <row r="97" spans="1:4" x14ac:dyDescent="0.3">
      <c r="A97" s="11" t="s">
        <v>77</v>
      </c>
      <c r="B97" s="23">
        <f>B95+B96</f>
        <v>80.489999999999995</v>
      </c>
      <c r="C97" s="23">
        <f>C95+C96</f>
        <v>41.97</v>
      </c>
      <c r="D97" s="22">
        <f>IFERROR((((B97-C97)/IF(C97&lt;0,-1*C97,C97))*100),"")</f>
        <v>91.779842744817714</v>
      </c>
    </row>
    <row r="98" spans="1:4" x14ac:dyDescent="0.3">
      <c r="A98" s="12" t="s">
        <v>76</v>
      </c>
      <c r="B98" s="23">
        <f>B93+B94+B97</f>
        <v>22151.510000000002</v>
      </c>
      <c r="C98" s="23">
        <f>C93+C94+C97</f>
        <v>34120.14</v>
      </c>
      <c r="D98" s="22">
        <f>IFERROR((((B98-C98)/IF(C98&lt;0,-1*C98,C98))*100),"")</f>
        <v>-35.077904135211632</v>
      </c>
    </row>
    <row r="99" spans="1:4" x14ac:dyDescent="0.3">
      <c r="A99" s="12" t="s">
        <v>75</v>
      </c>
      <c r="B99" s="23">
        <f>B92-B98</f>
        <v>-20748.060000000001</v>
      </c>
      <c r="C99" s="23">
        <f>C92-C98</f>
        <v>-32804.479999999996</v>
      </c>
      <c r="D99" s="22">
        <f>IFERROR((((B99-C99)/IF(C99&lt;0,-1*C99,C99))*100),"")</f>
        <v>36.752358214487771</v>
      </c>
    </row>
    <row r="100" spans="1:4" x14ac:dyDescent="0.3">
      <c r="A100" s="12" t="s">
        <v>65</v>
      </c>
      <c r="B100" s="23">
        <f>B89+B99</f>
        <v>43779.049999999988</v>
      </c>
      <c r="C100" s="23">
        <f>C89+C99</f>
        <v>49666.569999999992</v>
      </c>
      <c r="D100" s="22">
        <f>IFERROR((((B100-C100)/IF(C100&lt;0,-1*C100,C100))*100),"")</f>
        <v>-11.854090185813124</v>
      </c>
    </row>
    <row r="104" spans="1:4" x14ac:dyDescent="0.3">
      <c r="A104" s="1" t="s">
        <v>74</v>
      </c>
      <c r="B104" s="4"/>
      <c r="C104" s="4"/>
      <c r="D104" s="4"/>
    </row>
  </sheetData>
  <mergeCells count="5">
    <mergeCell ref="A1:D1"/>
    <mergeCell ref="A2:D2"/>
    <mergeCell ref="A3:D3"/>
    <mergeCell ref="B5:D5"/>
    <mergeCell ref="A104:D10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P&amp;L</vt:lpstr>
      <vt:lpstr>YTD P&amp;L YOY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Amanda Green</cp:lastModifiedBy>
  <dcterms:created xsi:type="dcterms:W3CDTF">2022-03-24T08:55:57Z</dcterms:created>
  <dcterms:modified xsi:type="dcterms:W3CDTF">2026-06-08T04:06:07Z</dcterms:modified>
  <cp:category/>
</cp:coreProperties>
</file>